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activeTab="2"/>
  </bookViews>
  <sheets>
    <sheet name="Hasil Ekstraksi" sheetId="1" r:id="rId1"/>
    <sheet name="Ringkasan Hard Skills" sheetId="2" r:id="rId2"/>
    <sheet name="Ringkasan Soft Skills" sheetId="3" r:id="rId3"/>
  </sheets>
  <definedNames>
    <definedName name="_xlnm._FilterDatabase" localSheetId="0" hidden="1">'Hasil Ekstraksi'!$A$1:$E$56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2" l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</calcChain>
</file>

<file path=xl/sharedStrings.xml><?xml version="1.0" encoding="utf-8"?>
<sst xmlns="http://schemas.openxmlformats.org/spreadsheetml/2006/main" count="292" uniqueCount="252">
  <si>
    <t>No</t>
  </si>
  <si>
    <t>Nama Perusahaan</t>
  </si>
  <si>
    <t>Job Title</t>
  </si>
  <si>
    <t>Extracted Hard Skills</t>
  </si>
  <si>
    <t>Extracted Soft Skills</t>
  </si>
  <si>
    <t>CLaaS2SaaS</t>
  </si>
  <si>
    <t>Azure AI Engineer - Indonesia</t>
  </si>
  <si>
    <t>Large Language Models, Retrieval-Augmented Generation, Vector Databases, MLOps, Prompt Engineering, Fine-Tuning Models, Microsoft Azure</t>
  </si>
  <si>
    <t>Stakeholder Management, Cross-Functional Collaboration, Learning Agility, Product Mindset</t>
  </si>
  <si>
    <t>DOKU, PT NUSA SATU INTI ARTHA</t>
  </si>
  <si>
    <t>AI Expert (Future Opening)</t>
  </si>
  <si>
    <t>Fine-Tuning Models, LangChain, Large Language Models, Natural Language Processing, Hugging Face, Vector Databases, PyTorch</t>
  </si>
  <si>
    <t>Problem Solving, Analytical Thinking, Communication Skills, Stakeholder Management, Cross-Functional Collaboration</t>
  </si>
  <si>
    <t>ICS Compute</t>
  </si>
  <si>
    <t>Generative AI Engineer</t>
  </si>
  <si>
    <t>Generative AI, Deep Learning, TensorFlow, PyTorch, Python, Scalable Systems</t>
  </si>
  <si>
    <t>Communication Skills, Stakeholder Management, Cross-Functional Collaboration, Learning Agility, Creative Thinking</t>
  </si>
  <si>
    <t>Bukalapak</t>
  </si>
  <si>
    <t>Artificial Intelligence Engineer</t>
  </si>
  <si>
    <t>Large Language Models, Recommender Systems, LangChain, Retrieval-Augmented Generation, Prompt Engineering, Agentic AI, REST API</t>
  </si>
  <si>
    <t>Problem Solving, Analytical Thinking, Cross-Functional Collaboration, Product Mindset, Adaptability to Change</t>
  </si>
  <si>
    <t>Pinhome</t>
  </si>
  <si>
    <t>Large Language Models, Generative AI, PyTorch, TensorFlow, Scikit-learn, LangChain, Natural Language Processing</t>
  </si>
  <si>
    <t>Problem Solving, Communication Skills, Cross-Functional Collaboration, Learning Agility, Research Curiosity</t>
  </si>
  <si>
    <t>Hire Feed</t>
  </si>
  <si>
    <t>AI Engineer - Generative AI (Remote)</t>
  </si>
  <si>
    <t>Generative AI, Large Language Models, LangChain, Retrieval-Augmented Generation, Prompt Engineering, Vector Databases, Agentic AI</t>
  </si>
  <si>
    <t>Communication Skills, Stakeholder Management, Cross-Functional Collaboration, Proactive Initiative, Independent Work</t>
  </si>
  <si>
    <t>Kulu</t>
  </si>
  <si>
    <t>Lead AI Product Engineer @ Top AI Startup in Bali - Rp IDR 60-100m plus 0.5-1% equity</t>
  </si>
  <si>
    <t>Agentic AI, Large Language Models, Prompt Engineering, Model Evaluation, Python, Machine Learning, Software Engineering Practices</t>
  </si>
  <si>
    <t>Analytical Thinking, Ownership Mindset, Research Curiosity, Team Leadership</t>
  </si>
  <si>
    <t>STEDI Talent Solution</t>
  </si>
  <si>
    <t>AI ML Engineer</t>
  </si>
  <si>
    <t>Computer Vision, Large Language Models, Generative AI, Agentic AI, Fine-Tuning Models, MLOps, PyTorch</t>
  </si>
  <si>
    <t>Problem Solving, Communication Skills, Cross-Functional Collaboration, Research Curiosity, Adaptability to Change</t>
  </si>
  <si>
    <t>Finku</t>
  </si>
  <si>
    <t>Sr Machine Learning Engineer</t>
  </si>
  <si>
    <t>Generative AI, Machine Learning, Scalable Systems</t>
  </si>
  <si>
    <t>Problem Solving, Communication Skills, Stakeholder Management, Cross-Functional Collaboration, Ownership Mindset</t>
  </si>
  <si>
    <t>Mekari</t>
  </si>
  <si>
    <t>AI and Data Specialist</t>
  </si>
  <si>
    <t>Large Language Models, Retrieval-Augmented Generation, Agentic AI, Machine Learning, Model Evaluation, Data Pipeline, Model Optimization</t>
  </si>
  <si>
    <t>Cross-Functional Collaboration, Ownership Mindset</t>
  </si>
  <si>
    <t>Large Language Models, Retrieval-Augmented Generation, Machine Learning, Model Evaluation, Data Pipeline, Model Optimization, Statistical Analysis</t>
  </si>
  <si>
    <t>PT DAYA CIPTA MANDIRI SOLUSI</t>
  </si>
  <si>
    <t>Medical Artificial Intelligence (AI) Engineer</t>
  </si>
  <si>
    <t>Deep Learning, Python, Machine Learning, AWS, Microsoft Azure, Google Cloud Platform, Data Pipeline</t>
  </si>
  <si>
    <t>Problem Solving, Analytical Thinking, Communication Skills, Cross-Functional Collaboration, Learning Agility</t>
  </si>
  <si>
    <t>Synapsis</t>
  </si>
  <si>
    <t>Mid. AI Engineer (Computer Vision)</t>
  </si>
  <si>
    <t>Computer Vision, Time-Series Forecasting, TensorFlow, PyTorch, Deep Learning, Scikit-learn, MLOps</t>
  </si>
  <si>
    <t>PT Astra International Tbk</t>
  </si>
  <si>
    <t>ADMO - Machine Learning Engineer</t>
  </si>
  <si>
    <t>Generative AI, TensorFlow, PyTorch, Scikit-learn, Deep Learning, Machine Learning, Python</t>
  </si>
  <si>
    <t>Problem Solving, Communication Skills, Stakeholder Management, Cross-Functional Collaboration, Team Collaboration</t>
  </si>
  <si>
    <t>Kredivo Group</t>
  </si>
  <si>
    <t>Data Scientist (AI / LLM Applications)</t>
  </si>
  <si>
    <t>Large Language Models, Agentic AI, Prompt Engineering, Retrieval-Augmented Generation, Vector Databases, LangChain, Machine Learning</t>
  </si>
  <si>
    <t>Stakeholder Management, Cross-Functional Collaboration, Research Curiosity, Product Mindset</t>
  </si>
  <si>
    <t>UCI-OC Alliance</t>
  </si>
  <si>
    <t>Data Scientist - QuantumBlack, AI by McKinsey at McKinsey &amp; Company</t>
  </si>
  <si>
    <t>Generative AI, Agentic AI, Time-Series Forecasting, Large Language Models, Retrieval-Augmented Generation, MLOps, Machine Learning</t>
  </si>
  <si>
    <t>Analytical Thinking, Communication Skills, Stakeholder Management, Cross-Functional Collaboration, Learning Agility</t>
  </si>
  <si>
    <t>PT. Intikom Berlian Mustika</t>
  </si>
  <si>
    <t>Full Stack Engineer</t>
  </si>
  <si>
    <t>Deep Learning, Computer Vision, Fine-Tuning Models, TensorFlow, PyTorch, Feature Engineering, Scalable Systems</t>
  </si>
  <si>
    <t>Cross-Functional Collaboration</t>
  </si>
  <si>
    <t>OCBC Indonesia</t>
  </si>
  <si>
    <t>Junior Data Scientist (AI/LLM Systems)</t>
  </si>
  <si>
    <t>Large Language Models, Hugging Face, Prompt Engineering, Fine-Tuning Models, Model Evaluation, Python, Data Governance &amp; Security</t>
  </si>
  <si>
    <t>Research Curiosity, Adaptability to Change</t>
  </si>
  <si>
    <t>Icrats Technologies</t>
  </si>
  <si>
    <t>AI and Machine Learning jobs</t>
  </si>
  <si>
    <t>Deep Learning, Recommender Systems, Machine Learning, Git, Python, Statistical Analysis, Scalable Systems</t>
  </si>
  <si>
    <t>Communication Skills, Cross-Functional Collaboration, Proactive Initiative</t>
  </si>
  <si>
    <t>Senior Machine Learning Engineer</t>
  </si>
  <si>
    <t>Large Language Models, Agentic AI, Computer Vision, Retrieval-Augmented Generation, SQL, Python, Model Optimization</t>
  </si>
  <si>
    <t>Communication Skills, Stakeholder Management, Ownership Mindset, Proactive Initiative, Team Leadership</t>
  </si>
  <si>
    <t>Terra Softech</t>
  </si>
  <si>
    <t>Machine Learning Engineer</t>
  </si>
  <si>
    <t>Deep Learning, PyTorch, Scikit-learn, Hugging Face, LangChain, Generative AI, Machine Learning</t>
  </si>
  <si>
    <t>Analytical Thinking, Research Curiosity, Proactive Initiative, Team Leadership</t>
  </si>
  <si>
    <t>Trinova Tech Solutions</t>
  </si>
  <si>
    <t>MLOps, TensorFlow, PyTorch, Machine Learning, Python, Scalable Systems</t>
  </si>
  <si>
    <t>Cross-Functional Collaboration, Learning Agility</t>
  </si>
  <si>
    <t>EY</t>
  </si>
  <si>
    <t>Tax - Senior AI/ML Engineer</t>
  </si>
  <si>
    <t>Scikit-learn, PyTorch, TensorFlow, Large Language Models, Generative AI, Agentic AI, Retrieval-Augmented Generation</t>
  </si>
  <si>
    <t>Communication Skills, Stakeholder Management, Cross-Functional Collaboration, Adaptability to Change, Responsible AI Awareness</t>
  </si>
  <si>
    <t>Acumen Strategy</t>
  </si>
  <si>
    <t>AI Model Optimization Engineer| Remote | Full-time</t>
  </si>
  <si>
    <t>Large Language Models, Agentic AI, Retrieval-Augmented Generation, Vector Databases, Prompt Engineering, Generative AI, LangChain</t>
  </si>
  <si>
    <t>Ownership Mindset, Independent Work, Adaptability to Change, Responsible AI Awareness</t>
  </si>
  <si>
    <t>AME Research</t>
  </si>
  <si>
    <t>ML Engineer</t>
  </si>
  <si>
    <t>Large Language Models, Natural Language Processing, Fine-Tuning Models, Hugging Face, LangChain, Vector Databases, Retrieval-Augmented Generation</t>
  </si>
  <si>
    <t>Communication Skills, Stakeholder Management, Cross-Functional Collaboration, Learning Agility, Responsible AI Awareness</t>
  </si>
  <si>
    <t>Beca</t>
  </si>
  <si>
    <t>AI Software Engineer</t>
  </si>
  <si>
    <t>Computer Vision, Agentic AI, Large Language Models, Retrieval-Augmented Generation, Python, Git, Microsoft Azure</t>
  </si>
  <si>
    <t>Communication Skills, Stakeholder Management, Cross-Functional Collaboration, Creative Thinking</t>
  </si>
  <si>
    <t>EYDS - AI Engineer (Senior)</t>
  </si>
  <si>
    <t>Large Language Models, Agentic AI, Natural Language Processing, Prompt Engineering, Retrieval-Augmented Generation, Vector Databases, Python</t>
  </si>
  <si>
    <t>Communication Skills, Stakeholder Management, Learning Agility, Adaptability to Change, Team Leadership</t>
  </si>
  <si>
    <t>ArcFusion</t>
  </si>
  <si>
    <t>GenAI Engineer</t>
  </si>
  <si>
    <t>Generative AI, Large Language Models, Prompt Engineering, Retrieval-Augmented Generation, Agentic AI, LangChain, Vector Databases</t>
  </si>
  <si>
    <t>Ownership Mindset</t>
  </si>
  <si>
    <t>AI ENGiNEER</t>
  </si>
  <si>
    <t>Computer Vision, Agentic AI, Generative AI, Large Language Models, Prompt Engineering, Data Pipeline, Docker</t>
  </si>
  <si>
    <t>Problem Solving, Analytical Thinking, Communication Skills, Cross-Functional Collaboration, Team Collaboration</t>
  </si>
  <si>
    <t>Quik Hire Staffing</t>
  </si>
  <si>
    <t>AI/ML Engineer (Remote)</t>
  </si>
  <si>
    <t>TensorFlow, PyTorch, MLOps, Machine Learning, Python, Model Evaluation, Feature Engineering</t>
  </si>
  <si>
    <t>Problem Solving, Cross-Functional Collaboration, Product Mindset</t>
  </si>
  <si>
    <t>Deloitte</t>
  </si>
  <si>
    <t>T&amp;T Senior Consultant - Artificial Intelligence &amp; Data (Data Scientist) - ID</t>
  </si>
  <si>
    <t>TensorFlow, PyTorch, Time-Series Forecasting, Data Pipeline, AWS, Machine Learning, Google Cloud Platform</t>
  </si>
  <si>
    <t>Problem Solving, Analytical Thinking, Communication Skills, Stakeholder Management, Ownership Mindset</t>
  </si>
  <si>
    <t>Machine Learning Engineer (Remote)</t>
  </si>
  <si>
    <t>TensorFlow, PyTorch, Fine-Tuning Models, MLOps, Machine Learning, Python, Feature Engineering</t>
  </si>
  <si>
    <t>Cross-Functional Collaboration, Independent Work, Product Mindset, Adaptability to Change, Time Management</t>
  </si>
  <si>
    <t>T&amp;T Consultant - Artificial Intelligence &amp; Data (Data Scientist) - ID</t>
  </si>
  <si>
    <t>QuantumBlack, AI by McKinsey</t>
  </si>
  <si>
    <t>Senior Data Scientist - QuantumBlack, AI by McKinsey</t>
  </si>
  <si>
    <t>Deep Learning, Reinforcement Learning, Prompt Engineering, Generative AI, Retrieval-Augmented Generation, Agentic AI, Machine Learning</t>
  </si>
  <si>
    <t>PT XLSMART Telecom Sejahtera Tbk</t>
  </si>
  <si>
    <t>Senior Data Scientist</t>
  </si>
  <si>
    <t>Generative AI, Agentic AI, Large Language Models, Retrieval-Augmented Generation, Model Evaluation, AWS, Python</t>
  </si>
  <si>
    <t>Ownership Mindset, Product Mindset, Team Leadership</t>
  </si>
  <si>
    <t>DIALX</t>
  </si>
  <si>
    <t>AI Researcher and Developer</t>
  </si>
  <si>
    <t>Prompt Engineering, Generative AI, Scikit-learn, MLOps, Python, Pandas &amp; NumPy, Git</t>
  </si>
  <si>
    <t>Analytical Thinking, Learning Agility, Research Curiosity, Proactive Initiative</t>
  </si>
  <si>
    <t>Sea</t>
  </si>
  <si>
    <t>AI Solutions Engineer (Engineering Infrastructure) - Sea Labs</t>
  </si>
  <si>
    <t>Agentic AI, Large Language Models, Vector Databases, Retrieval-Augmented Generation, LangChain, Python, Docker</t>
  </si>
  <si>
    <t>Problem Solving, Research Curiosity, Proactive Initiative, Adaptability to Change, Time Management</t>
  </si>
  <si>
    <t>Shopee</t>
  </si>
  <si>
    <t>AI Solution Engineer</t>
  </si>
  <si>
    <t>LangChain, Agentic AI, Large Language Models, Prompt Engineering, Vector Databases, Retrieval-Augmented Generation, Data Pipeline</t>
  </si>
  <si>
    <t>Problem Solving, Analytical Thinking, Stakeholder Management, Cross-Functional Collaboration, Research Curiosity</t>
  </si>
  <si>
    <t>Astraeus</t>
  </si>
  <si>
    <t>Applied AI Engineer</t>
  </si>
  <si>
    <t>Agentic AI, Large Language Models, Model Evaluation, Data Pipeline, Data Governance &amp; Security, REST API, Software Engineering Practices</t>
  </si>
  <si>
    <t>Analytical Thinking, Cross-Functional Collaboration, Learning Agility, Ownership Mindset, Research Curiosity</t>
  </si>
  <si>
    <t>Acclime</t>
  </si>
  <si>
    <t>Principal AI Engineering Lead - ID26012</t>
  </si>
  <si>
    <t>Prompt Engineering, Computer Vision, Vector Databases, Large Language Models, Machine Learning, Microsoft Azure, Google Cloud Platform</t>
  </si>
  <si>
    <t>Communication Skills, Stakeholder Management, Ownership Mindset, Research Curiosity, Proactive Initiative</t>
  </si>
  <si>
    <t>McEasy</t>
  </si>
  <si>
    <t>AI Engineer</t>
  </si>
  <si>
    <t>Large Language Models, Time-Series Forecasting, Model Evaluation, Python, SQL, AI-Assisted Development, Statistical Analysis</t>
  </si>
  <si>
    <t>Cross-Functional Collaboration, Product Mindset, Adaptability to Change, Team Leadership</t>
  </si>
  <si>
    <t>DANA Indonesia</t>
  </si>
  <si>
    <t>Data Scientist</t>
  </si>
  <si>
    <t>MLOps, Large Language Models, Natural Language Processing, Computer Vision, Scikit-learn, TensorFlow, PyTorch</t>
  </si>
  <si>
    <t>Jatis Mobile</t>
  </si>
  <si>
    <t>Talent Pool for VP AI Engineer</t>
  </si>
  <si>
    <t>Agentic AI, Large Language Models, Retrieval-Augmented Generation, Vector Databases, MLOps, Machine Learning, Data Governance &amp; Security</t>
  </si>
  <si>
    <t>Communication Skills, Product Mindset, Team Leadership</t>
  </si>
  <si>
    <t>Paques Indonesia</t>
  </si>
  <si>
    <t>Time-Series Forecasting, Natural Language Processing, Recommender Systems, Generative AI, Retrieval-Augmented Generation, MLOps, Scikit-learn</t>
  </si>
  <si>
    <t>Problem Solving, Analytical Thinking, Cross-Functional Collaboration, Responsible AI Awareness</t>
  </si>
  <si>
    <t>Cloud Kinetics</t>
  </si>
  <si>
    <t>Generative AI, MLOps, TensorFlow, PyTorch, Scikit-learn, Natural Language Processing, Large Language Models</t>
  </si>
  <si>
    <t>Communication Skills, Stakeholder Management, Cross-Functional Collaboration, Research Curiosity</t>
  </si>
  <si>
    <t>PT Merdeka Copper Gold Tbk</t>
  </si>
  <si>
    <t>Scikit-learn, TensorFlow, PyTorch, MLOps, Machine Learning, Feature Engineering, Python</t>
  </si>
  <si>
    <t>Data Scientist II - QuantumBlack, AI by McKinsey</t>
  </si>
  <si>
    <t>Prompt Engineering, Generative AI, Retrieval-Augmented Generation, Agentic AI, Machine Learning, Python, Apache Spark</t>
  </si>
  <si>
    <t>Problem Solving, Analytical Thinking, Cross-Functional Collaboration, Learning Agility, Research Curiosity</t>
  </si>
  <si>
    <t>Lead AI Product Engineer @ Top AI Startup - Rp IDR 60-100m plus 0.5-1% equity</t>
  </si>
  <si>
    <t>Talentpool for Full Stack Engineer</t>
  </si>
  <si>
    <t>Recommender Systems, Retrieval-Augmented Generation, Agentic AI, MLOps, Generative AI, Large Language Models, Computer Vision</t>
  </si>
  <si>
    <t>Cross-Functional Collaboration, Responsible AI Awareness</t>
  </si>
  <si>
    <t>Machine Learning (ML) Ops Engineer</t>
  </si>
  <si>
    <t>MLOps, Machine Learning, Python, SQL, Airflow, Docker, Kubernetes</t>
  </si>
  <si>
    <t>Communication Skills, Cross-Functional Collaboration</t>
  </si>
  <si>
    <t>PT. CYBERTREND INTRABUANA</t>
  </si>
  <si>
    <t>Natural Language Processing, Deep Learning, Machine Learning, Scalable Systems, Software Engineering Practices, Statistical Analysis</t>
  </si>
  <si>
    <t>tiket.com</t>
  </si>
  <si>
    <t>Machine Learning Engineer Intern</t>
  </si>
  <si>
    <t>MLOps, TensorFlow, PyTorch, Deep Learning, Machine Learning, Google Cloud Platform, Python</t>
  </si>
  <si>
    <t>Avanade</t>
  </si>
  <si>
    <t>Forward Deployed Engineer</t>
  </si>
  <si>
    <t>Agentic AI, Large Language Models, Microsoft Azure, Model Evaluation, REST API</t>
  </si>
  <si>
    <t>Stakeholder Management, Ownership Mindset, Product Mindset, Adaptability to Change</t>
  </si>
  <si>
    <t>Data Scientist ( 3+ years Exp)</t>
  </si>
  <si>
    <t>Deep Learning, MLOps, Machine Learning, Model Evaluation, Data Pipeline, Python, SQL</t>
  </si>
  <si>
    <t>Problem Solving, Communication Skills, Stakeholder Management, Cross-Functional Collaboration, Research Curiosity</t>
  </si>
  <si>
    <t>Skill</t>
  </si>
  <si>
    <t>Jumlah Lowongan</t>
  </si>
  <si>
    <t>% dari Lowongan</t>
  </si>
  <si>
    <t>Large Language Models</t>
  </si>
  <si>
    <t>Agentic AI</t>
  </si>
  <si>
    <t>Machine Learning</t>
  </si>
  <si>
    <t>Python</t>
  </si>
  <si>
    <t>Retrieval-Augmented Generation</t>
  </si>
  <si>
    <t>Generative AI</t>
  </si>
  <si>
    <t>PyTorch</t>
  </si>
  <si>
    <t>MLOps</t>
  </si>
  <si>
    <t>Prompt Engineering</t>
  </si>
  <si>
    <t>TensorFlow</t>
  </si>
  <si>
    <t>Vector Databases</t>
  </si>
  <si>
    <t>LangChain</t>
  </si>
  <si>
    <t>Deep Learning</t>
  </si>
  <si>
    <t>Model Evaluation</t>
  </si>
  <si>
    <t>Scikit-learn</t>
  </si>
  <si>
    <t>Computer Vision</t>
  </si>
  <si>
    <t>Data Pipeline</t>
  </si>
  <si>
    <t>Natural Language Processing</t>
  </si>
  <si>
    <t>Fine-Tuning Models</t>
  </si>
  <si>
    <t>Scalable Systems</t>
  </si>
  <si>
    <t>Time-Series Forecasting</t>
  </si>
  <si>
    <t>Google Cloud Platform</t>
  </si>
  <si>
    <t>Microsoft Azure</t>
  </si>
  <si>
    <t>AWS</t>
  </si>
  <si>
    <t>Docker</t>
  </si>
  <si>
    <t>Feature Engineering</t>
  </si>
  <si>
    <t>Hugging Face</t>
  </si>
  <si>
    <t>Recommender Systems</t>
  </si>
  <si>
    <t>SQL</t>
  </si>
  <si>
    <t>Software Engineering Practices</t>
  </si>
  <si>
    <t>Statistical Analysis</t>
  </si>
  <si>
    <t>Data Governance &amp; Security</t>
  </si>
  <si>
    <t>Git</t>
  </si>
  <si>
    <t>Model Optimization</t>
  </si>
  <si>
    <t>REST API</t>
  </si>
  <si>
    <t>AI-Assisted Development</t>
  </si>
  <si>
    <t>Airflow</t>
  </si>
  <si>
    <t>Apache Spark</t>
  </si>
  <si>
    <t>Kubernetes</t>
  </si>
  <si>
    <t>Pandas &amp; NumPy</t>
  </si>
  <si>
    <t>Reinforcement Learning</t>
  </si>
  <si>
    <t>Dasar: 55 lowongan setelah pembersihan. Maks. 7 frasa per lowongan. Jumlah dihitung dengan rumus dari sheet Hasil Ekstraksi.</t>
  </si>
  <si>
    <t>Communication Skills</t>
  </si>
  <si>
    <t>Stakeholder Management</t>
  </si>
  <si>
    <t>Problem Solving</t>
  </si>
  <si>
    <t>Analytical Thinking</t>
  </si>
  <si>
    <t>Research Curiosity</t>
  </si>
  <si>
    <t>Learning Agility</t>
  </si>
  <si>
    <t>Adaptability to Change</t>
  </si>
  <si>
    <t>Product Mindset</t>
  </si>
  <si>
    <t>Proactive Initiative</t>
  </si>
  <si>
    <t>Team Leadership</t>
  </si>
  <si>
    <t>Responsible AI Awareness</t>
  </si>
  <si>
    <t>Independent Work</t>
  </si>
  <si>
    <t>Time Management</t>
  </si>
  <si>
    <t>Creative Thinking</t>
  </si>
  <si>
    <t>Team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</si>
</sst>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zoomScaleNormal="100" workbookViewId="0">
      <pane ySplit="1" topLeftCell="A2" activePane="bottomLeft" state="frozen"/>
      <selection pane="bottomLeft" activeCell="D10" sqref="D10"/>
    </sheetView>
  </sheetViews>
  <sheetFormatPr defaultColWidth="8.7109375" defaultRowHeight="15" x14ac:dyDescent="0.25"/>
  <cols>
    <col min="1" max="1" width="6" customWidth="1"/>
    <col min="2" max="2" width="32" customWidth="1"/>
    <col min="3" max="3" width="42" customWidth="1"/>
    <col min="4" max="4" width="70" customWidth="1"/>
    <col min="5" max="5" width="5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x14ac:dyDescent="0.2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25.5" x14ac:dyDescent="0.25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25.5" x14ac:dyDescent="0.25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25.5" x14ac:dyDescent="0.25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25.5" x14ac:dyDescent="0.25">
      <c r="A6" s="2">
        <v>5</v>
      </c>
      <c r="B6" s="3" t="s">
        <v>21</v>
      </c>
      <c r="C6" s="3" t="s">
        <v>18</v>
      </c>
      <c r="D6" s="3" t="s">
        <v>22</v>
      </c>
      <c r="E6" s="3" t="s">
        <v>23</v>
      </c>
    </row>
    <row r="7" spans="1:5" ht="25.5" x14ac:dyDescent="0.25">
      <c r="A7" s="2">
        <v>6</v>
      </c>
      <c r="B7" s="3" t="s">
        <v>24</v>
      </c>
      <c r="C7" s="3" t="s">
        <v>25</v>
      </c>
      <c r="D7" s="3" t="s">
        <v>26</v>
      </c>
      <c r="E7" s="3" t="s">
        <v>27</v>
      </c>
    </row>
    <row r="8" spans="1:5" ht="25.5" x14ac:dyDescent="0.25">
      <c r="A8" s="2">
        <v>7</v>
      </c>
      <c r="B8" s="3" t="s">
        <v>28</v>
      </c>
      <c r="C8" s="3" t="s">
        <v>29</v>
      </c>
      <c r="D8" s="3" t="s">
        <v>30</v>
      </c>
      <c r="E8" s="3" t="s">
        <v>31</v>
      </c>
    </row>
    <row r="9" spans="1:5" ht="25.5" x14ac:dyDescent="0.25">
      <c r="A9" s="2">
        <v>8</v>
      </c>
      <c r="B9" s="3" t="s">
        <v>32</v>
      </c>
      <c r="C9" s="3" t="s">
        <v>33</v>
      </c>
      <c r="D9" s="3" t="s">
        <v>34</v>
      </c>
      <c r="E9" s="3" t="s">
        <v>35</v>
      </c>
    </row>
    <row r="10" spans="1:5" ht="38.25" x14ac:dyDescent="0.25">
      <c r="A10" s="2">
        <v>9</v>
      </c>
      <c r="B10" s="3" t="s">
        <v>36</v>
      </c>
      <c r="C10" s="3" t="s">
        <v>37</v>
      </c>
      <c r="D10" s="3" t="s">
        <v>38</v>
      </c>
      <c r="E10" s="3" t="s">
        <v>39</v>
      </c>
    </row>
    <row r="11" spans="1:5" ht="25.5" x14ac:dyDescent="0.25">
      <c r="A11" s="2">
        <v>10</v>
      </c>
      <c r="B11" s="3" t="s">
        <v>40</v>
      </c>
      <c r="C11" s="3" t="s">
        <v>41</v>
      </c>
      <c r="D11" s="3" t="s">
        <v>42</v>
      </c>
      <c r="E11" s="3" t="s">
        <v>43</v>
      </c>
    </row>
    <row r="12" spans="1:5" ht="25.5" x14ac:dyDescent="0.25">
      <c r="A12" s="2">
        <v>11</v>
      </c>
      <c r="B12" s="3" t="s">
        <v>40</v>
      </c>
      <c r="C12" s="3" t="s">
        <v>41</v>
      </c>
      <c r="D12" s="3" t="s">
        <v>44</v>
      </c>
      <c r="E12" s="3" t="s">
        <v>43</v>
      </c>
    </row>
    <row r="13" spans="1:5" ht="25.5" x14ac:dyDescent="0.25">
      <c r="A13" s="2">
        <v>12</v>
      </c>
      <c r="B13" s="3" t="s">
        <v>45</v>
      </c>
      <c r="C13" s="3" t="s">
        <v>46</v>
      </c>
      <c r="D13" s="3" t="s">
        <v>47</v>
      </c>
      <c r="E13" s="3" t="s">
        <v>48</v>
      </c>
    </row>
    <row r="14" spans="1:5" ht="25.5" x14ac:dyDescent="0.25">
      <c r="A14" s="2">
        <v>13</v>
      </c>
      <c r="B14" s="3" t="s">
        <v>49</v>
      </c>
      <c r="C14" s="3" t="s">
        <v>50</v>
      </c>
      <c r="D14" s="3" t="s">
        <v>51</v>
      </c>
      <c r="E14" s="3" t="s">
        <v>12</v>
      </c>
    </row>
    <row r="15" spans="1:5" ht="38.25" x14ac:dyDescent="0.25">
      <c r="A15" s="2">
        <v>14</v>
      </c>
      <c r="B15" s="3" t="s">
        <v>52</v>
      </c>
      <c r="C15" s="3" t="s">
        <v>53</v>
      </c>
      <c r="D15" s="3" t="s">
        <v>54</v>
      </c>
      <c r="E15" s="3" t="s">
        <v>55</v>
      </c>
    </row>
    <row r="16" spans="1:5" ht="25.5" x14ac:dyDescent="0.25">
      <c r="A16" s="2">
        <v>15</v>
      </c>
      <c r="B16" s="3" t="s">
        <v>56</v>
      </c>
      <c r="C16" s="3" t="s">
        <v>57</v>
      </c>
      <c r="D16" s="3" t="s">
        <v>58</v>
      </c>
      <c r="E16" s="3" t="s">
        <v>59</v>
      </c>
    </row>
    <row r="17" spans="1:5" ht="25.5" x14ac:dyDescent="0.25">
      <c r="A17" s="2">
        <v>16</v>
      </c>
      <c r="B17" s="3" t="s">
        <v>60</v>
      </c>
      <c r="C17" s="3" t="s">
        <v>61</v>
      </c>
      <c r="D17" s="3" t="s">
        <v>62</v>
      </c>
      <c r="E17" s="3" t="s">
        <v>63</v>
      </c>
    </row>
    <row r="18" spans="1:5" ht="25.5" x14ac:dyDescent="0.25">
      <c r="A18" s="2">
        <v>17</v>
      </c>
      <c r="B18" s="3" t="s">
        <v>64</v>
      </c>
      <c r="C18" s="3" t="s">
        <v>65</v>
      </c>
      <c r="D18" s="3" t="s">
        <v>66</v>
      </c>
      <c r="E18" s="3" t="s">
        <v>67</v>
      </c>
    </row>
    <row r="19" spans="1:5" ht="25.5" x14ac:dyDescent="0.25">
      <c r="A19" s="2">
        <v>18</v>
      </c>
      <c r="B19" s="3" t="s">
        <v>68</v>
      </c>
      <c r="C19" s="3" t="s">
        <v>69</v>
      </c>
      <c r="D19" s="3" t="s">
        <v>70</v>
      </c>
      <c r="E19" s="3" t="s">
        <v>71</v>
      </c>
    </row>
    <row r="20" spans="1:5" ht="25.5" x14ac:dyDescent="0.25">
      <c r="A20" s="2">
        <v>19</v>
      </c>
      <c r="B20" s="3" t="s">
        <v>72</v>
      </c>
      <c r="C20" s="3" t="s">
        <v>73</v>
      </c>
      <c r="D20" s="3" t="s">
        <v>74</v>
      </c>
      <c r="E20" s="3" t="s">
        <v>75</v>
      </c>
    </row>
    <row r="21" spans="1:5" ht="25.5" x14ac:dyDescent="0.25">
      <c r="A21" s="2">
        <v>20</v>
      </c>
      <c r="B21" s="3" t="s">
        <v>56</v>
      </c>
      <c r="C21" s="3" t="s">
        <v>76</v>
      </c>
      <c r="D21" s="3" t="s">
        <v>77</v>
      </c>
      <c r="E21" s="3" t="s">
        <v>78</v>
      </c>
    </row>
    <row r="22" spans="1:5" ht="25.5" x14ac:dyDescent="0.25">
      <c r="A22" s="2">
        <v>21</v>
      </c>
      <c r="B22" s="3" t="s">
        <v>79</v>
      </c>
      <c r="C22" s="3" t="s">
        <v>80</v>
      </c>
      <c r="D22" s="3" t="s">
        <v>81</v>
      </c>
      <c r="E22" s="3" t="s">
        <v>82</v>
      </c>
    </row>
    <row r="23" spans="1:5" x14ac:dyDescent="0.25">
      <c r="A23" s="2">
        <v>22</v>
      </c>
      <c r="B23" s="3" t="s">
        <v>83</v>
      </c>
      <c r="C23" s="3" t="s">
        <v>80</v>
      </c>
      <c r="D23" s="3" t="s">
        <v>84</v>
      </c>
      <c r="E23" s="3" t="s">
        <v>85</v>
      </c>
    </row>
    <row r="24" spans="1:5" ht="38.25" x14ac:dyDescent="0.25">
      <c r="A24" s="2">
        <v>23</v>
      </c>
      <c r="B24" s="3" t="s">
        <v>86</v>
      </c>
      <c r="C24" s="3" t="s">
        <v>87</v>
      </c>
      <c r="D24" s="3" t="s">
        <v>88</v>
      </c>
      <c r="E24" s="3" t="s">
        <v>89</v>
      </c>
    </row>
    <row r="25" spans="1:5" ht="25.5" x14ac:dyDescent="0.25">
      <c r="A25" s="2">
        <v>24</v>
      </c>
      <c r="B25" s="3" t="s">
        <v>90</v>
      </c>
      <c r="C25" s="3" t="s">
        <v>91</v>
      </c>
      <c r="D25" s="3" t="s">
        <v>92</v>
      </c>
      <c r="E25" s="3" t="s">
        <v>93</v>
      </c>
    </row>
    <row r="26" spans="1:5" ht="38.25" x14ac:dyDescent="0.25">
      <c r="A26" s="2">
        <v>25</v>
      </c>
      <c r="B26" s="3" t="s">
        <v>94</v>
      </c>
      <c r="C26" s="3" t="s">
        <v>95</v>
      </c>
      <c r="D26" s="3" t="s">
        <v>96</v>
      </c>
      <c r="E26" s="3" t="s">
        <v>97</v>
      </c>
    </row>
    <row r="27" spans="1:5" ht="25.5" x14ac:dyDescent="0.25">
      <c r="A27" s="2">
        <v>26</v>
      </c>
      <c r="B27" s="3" t="s">
        <v>98</v>
      </c>
      <c r="C27" s="3" t="s">
        <v>99</v>
      </c>
      <c r="D27" s="3" t="s">
        <v>100</v>
      </c>
      <c r="E27" s="3" t="s">
        <v>101</v>
      </c>
    </row>
    <row r="28" spans="1:5" ht="25.5" x14ac:dyDescent="0.25">
      <c r="A28" s="2">
        <v>27</v>
      </c>
      <c r="B28" s="3" t="s">
        <v>86</v>
      </c>
      <c r="C28" s="3" t="s">
        <v>102</v>
      </c>
      <c r="D28" s="3" t="s">
        <v>103</v>
      </c>
      <c r="E28" s="3" t="s">
        <v>104</v>
      </c>
    </row>
    <row r="29" spans="1:5" ht="25.5" x14ac:dyDescent="0.25">
      <c r="A29" s="2">
        <v>28</v>
      </c>
      <c r="B29" s="3" t="s">
        <v>105</v>
      </c>
      <c r="C29" s="3" t="s">
        <v>106</v>
      </c>
      <c r="D29" s="3" t="s">
        <v>107</v>
      </c>
      <c r="E29" s="3" t="s">
        <v>108</v>
      </c>
    </row>
    <row r="30" spans="1:5" ht="25.5" x14ac:dyDescent="0.25">
      <c r="A30" s="2">
        <v>29</v>
      </c>
      <c r="B30" s="3" t="s">
        <v>64</v>
      </c>
      <c r="C30" s="3" t="s">
        <v>109</v>
      </c>
      <c r="D30" s="3" t="s">
        <v>110</v>
      </c>
      <c r="E30" s="3" t="s">
        <v>111</v>
      </c>
    </row>
    <row r="31" spans="1:5" ht="25.5" x14ac:dyDescent="0.25">
      <c r="A31" s="2">
        <v>30</v>
      </c>
      <c r="B31" s="3" t="s">
        <v>112</v>
      </c>
      <c r="C31" s="3" t="s">
        <v>113</v>
      </c>
      <c r="D31" s="3" t="s">
        <v>114</v>
      </c>
      <c r="E31" s="3" t="s">
        <v>115</v>
      </c>
    </row>
    <row r="32" spans="1:5" ht="25.5" x14ac:dyDescent="0.25">
      <c r="A32" s="2">
        <v>31</v>
      </c>
      <c r="B32" s="3" t="s">
        <v>116</v>
      </c>
      <c r="C32" s="3" t="s">
        <v>117</v>
      </c>
      <c r="D32" s="3" t="s">
        <v>118</v>
      </c>
      <c r="E32" s="3" t="s">
        <v>119</v>
      </c>
    </row>
    <row r="33" spans="1:5" ht="25.5" x14ac:dyDescent="0.25">
      <c r="A33" s="2">
        <v>32</v>
      </c>
      <c r="B33" s="3" t="s">
        <v>112</v>
      </c>
      <c r="C33" s="3" t="s">
        <v>120</v>
      </c>
      <c r="D33" s="3" t="s">
        <v>121</v>
      </c>
      <c r="E33" s="3" t="s">
        <v>122</v>
      </c>
    </row>
    <row r="34" spans="1:5" ht="25.5" x14ac:dyDescent="0.25">
      <c r="A34" s="2">
        <v>33</v>
      </c>
      <c r="B34" s="3" t="s">
        <v>116</v>
      </c>
      <c r="C34" s="3" t="s">
        <v>123</v>
      </c>
      <c r="D34" s="3" t="s">
        <v>118</v>
      </c>
      <c r="E34" s="3" t="s">
        <v>119</v>
      </c>
    </row>
    <row r="35" spans="1:5" ht="25.5" x14ac:dyDescent="0.25">
      <c r="A35" s="2">
        <v>34</v>
      </c>
      <c r="B35" s="3" t="s">
        <v>124</v>
      </c>
      <c r="C35" s="3" t="s">
        <v>125</v>
      </c>
      <c r="D35" s="3" t="s">
        <v>126</v>
      </c>
      <c r="E35" s="3" t="s">
        <v>12</v>
      </c>
    </row>
    <row r="36" spans="1:5" ht="25.5" x14ac:dyDescent="0.25">
      <c r="A36" s="2">
        <v>35</v>
      </c>
      <c r="B36" s="3" t="s">
        <v>127</v>
      </c>
      <c r="C36" s="3" t="s">
        <v>128</v>
      </c>
      <c r="D36" s="3" t="s">
        <v>129</v>
      </c>
      <c r="E36" s="3" t="s">
        <v>130</v>
      </c>
    </row>
    <row r="37" spans="1:5" ht="25.5" x14ac:dyDescent="0.25">
      <c r="A37" s="2">
        <v>36</v>
      </c>
      <c r="B37" s="3" t="s">
        <v>131</v>
      </c>
      <c r="C37" s="3" t="s">
        <v>132</v>
      </c>
      <c r="D37" s="3" t="s">
        <v>133</v>
      </c>
      <c r="E37" s="3" t="s">
        <v>134</v>
      </c>
    </row>
    <row r="38" spans="1:5" ht="25.5" x14ac:dyDescent="0.25">
      <c r="A38" s="2">
        <v>37</v>
      </c>
      <c r="B38" s="3" t="s">
        <v>135</v>
      </c>
      <c r="C38" s="3" t="s">
        <v>136</v>
      </c>
      <c r="D38" s="3" t="s">
        <v>137</v>
      </c>
      <c r="E38" s="3" t="s">
        <v>138</v>
      </c>
    </row>
    <row r="39" spans="1:5" ht="38.25" x14ac:dyDescent="0.25">
      <c r="A39" s="2">
        <v>38</v>
      </c>
      <c r="B39" s="3" t="s">
        <v>139</v>
      </c>
      <c r="C39" s="3" t="s">
        <v>140</v>
      </c>
      <c r="D39" s="3" t="s">
        <v>141</v>
      </c>
      <c r="E39" s="3" t="s">
        <v>142</v>
      </c>
    </row>
    <row r="40" spans="1:5" ht="25.5" x14ac:dyDescent="0.25">
      <c r="A40" s="2">
        <v>39</v>
      </c>
      <c r="B40" s="3" t="s">
        <v>143</v>
      </c>
      <c r="C40" s="3" t="s">
        <v>144</v>
      </c>
      <c r="D40" s="3" t="s">
        <v>145</v>
      </c>
      <c r="E40" s="3" t="s">
        <v>146</v>
      </c>
    </row>
    <row r="41" spans="1:5" ht="25.5" x14ac:dyDescent="0.25">
      <c r="A41" s="2">
        <v>40</v>
      </c>
      <c r="B41" s="3" t="s">
        <v>147</v>
      </c>
      <c r="C41" s="3" t="s">
        <v>148</v>
      </c>
      <c r="D41" s="3" t="s">
        <v>149</v>
      </c>
      <c r="E41" s="3" t="s">
        <v>150</v>
      </c>
    </row>
    <row r="42" spans="1:5" ht="25.5" x14ac:dyDescent="0.25">
      <c r="A42" s="2">
        <v>41</v>
      </c>
      <c r="B42" s="3" t="s">
        <v>151</v>
      </c>
      <c r="C42" s="3" t="s">
        <v>152</v>
      </c>
      <c r="D42" s="3" t="s">
        <v>153</v>
      </c>
      <c r="E42" s="3" t="s">
        <v>154</v>
      </c>
    </row>
    <row r="43" spans="1:5" ht="25.5" x14ac:dyDescent="0.25">
      <c r="A43" s="2">
        <v>42</v>
      </c>
      <c r="B43" s="3" t="s">
        <v>139</v>
      </c>
      <c r="C43" s="3" t="s">
        <v>136</v>
      </c>
      <c r="D43" s="3" t="s">
        <v>137</v>
      </c>
      <c r="E43" s="3" t="s">
        <v>138</v>
      </c>
    </row>
    <row r="44" spans="1:5" ht="25.5" x14ac:dyDescent="0.25">
      <c r="A44" s="2">
        <v>43</v>
      </c>
      <c r="B44" s="3" t="s">
        <v>155</v>
      </c>
      <c r="C44" s="3" t="s">
        <v>156</v>
      </c>
      <c r="D44" s="3" t="s">
        <v>157</v>
      </c>
      <c r="E44" s="3" t="s">
        <v>12</v>
      </c>
    </row>
    <row r="45" spans="1:5" ht="25.5" x14ac:dyDescent="0.25">
      <c r="A45" s="2">
        <v>44</v>
      </c>
      <c r="B45" s="3" t="s">
        <v>158</v>
      </c>
      <c r="C45" s="3" t="s">
        <v>159</v>
      </c>
      <c r="D45" s="3" t="s">
        <v>160</v>
      </c>
      <c r="E45" s="3" t="s">
        <v>161</v>
      </c>
    </row>
    <row r="46" spans="1:5" ht="25.5" x14ac:dyDescent="0.25">
      <c r="A46" s="2">
        <v>45</v>
      </c>
      <c r="B46" s="3" t="s">
        <v>162</v>
      </c>
      <c r="C46" s="3" t="s">
        <v>128</v>
      </c>
      <c r="D46" s="3" t="s">
        <v>163</v>
      </c>
      <c r="E46" s="3" t="s">
        <v>164</v>
      </c>
    </row>
    <row r="47" spans="1:5" ht="25.5" x14ac:dyDescent="0.25">
      <c r="A47" s="2">
        <v>46</v>
      </c>
      <c r="B47" s="3" t="s">
        <v>165</v>
      </c>
      <c r="C47" s="3" t="s">
        <v>156</v>
      </c>
      <c r="D47" s="3" t="s">
        <v>166</v>
      </c>
      <c r="E47" s="3" t="s">
        <v>167</v>
      </c>
    </row>
    <row r="48" spans="1:5" ht="25.5" x14ac:dyDescent="0.25">
      <c r="A48" s="2">
        <v>47</v>
      </c>
      <c r="B48" s="3" t="s">
        <v>168</v>
      </c>
      <c r="C48" s="3" t="s">
        <v>156</v>
      </c>
      <c r="D48" s="3" t="s">
        <v>169</v>
      </c>
      <c r="E48" s="3" t="s">
        <v>12</v>
      </c>
    </row>
    <row r="49" spans="1:5" ht="25.5" x14ac:dyDescent="0.25">
      <c r="A49" s="2">
        <v>48</v>
      </c>
      <c r="B49" s="3" t="s">
        <v>124</v>
      </c>
      <c r="C49" s="3" t="s">
        <v>170</v>
      </c>
      <c r="D49" s="3" t="s">
        <v>171</v>
      </c>
      <c r="E49" s="3" t="s">
        <v>172</v>
      </c>
    </row>
    <row r="50" spans="1:5" ht="25.5" x14ac:dyDescent="0.25">
      <c r="A50" s="2">
        <v>49</v>
      </c>
      <c r="B50" s="3" t="s">
        <v>28</v>
      </c>
      <c r="C50" s="3" t="s">
        <v>173</v>
      </c>
      <c r="D50" s="3" t="s">
        <v>30</v>
      </c>
      <c r="E50" s="3" t="s">
        <v>31</v>
      </c>
    </row>
    <row r="51" spans="1:5" ht="25.5" x14ac:dyDescent="0.25">
      <c r="A51" s="2">
        <v>50</v>
      </c>
      <c r="B51" s="3" t="s">
        <v>158</v>
      </c>
      <c r="C51" s="3" t="s">
        <v>174</v>
      </c>
      <c r="D51" s="3" t="s">
        <v>175</v>
      </c>
      <c r="E51" s="3" t="s">
        <v>176</v>
      </c>
    </row>
    <row r="52" spans="1:5" x14ac:dyDescent="0.25">
      <c r="A52" s="2">
        <v>51</v>
      </c>
      <c r="B52" s="3" t="s">
        <v>45</v>
      </c>
      <c r="C52" s="3" t="s">
        <v>177</v>
      </c>
      <c r="D52" s="3" t="s">
        <v>178</v>
      </c>
      <c r="E52" s="3" t="s">
        <v>179</v>
      </c>
    </row>
    <row r="53" spans="1:5" ht="25.5" x14ac:dyDescent="0.25">
      <c r="A53" s="2">
        <v>52</v>
      </c>
      <c r="B53" s="3" t="s">
        <v>180</v>
      </c>
      <c r="C53" s="3" t="s">
        <v>156</v>
      </c>
      <c r="D53" s="3" t="s">
        <v>181</v>
      </c>
      <c r="E53" s="3" t="s">
        <v>48</v>
      </c>
    </row>
    <row r="54" spans="1:5" ht="25.5" x14ac:dyDescent="0.25">
      <c r="A54" s="2">
        <v>53</v>
      </c>
      <c r="B54" s="3" t="s">
        <v>182</v>
      </c>
      <c r="C54" s="3" t="s">
        <v>183</v>
      </c>
      <c r="D54" s="3" t="s">
        <v>184</v>
      </c>
      <c r="E54" s="3" t="s">
        <v>179</v>
      </c>
    </row>
    <row r="55" spans="1:5" ht="25.5" x14ac:dyDescent="0.25">
      <c r="A55" s="2">
        <v>54</v>
      </c>
      <c r="B55" s="3" t="s">
        <v>185</v>
      </c>
      <c r="C55" s="3" t="s">
        <v>186</v>
      </c>
      <c r="D55" s="3" t="s">
        <v>187</v>
      </c>
      <c r="E55" s="3" t="s">
        <v>188</v>
      </c>
    </row>
    <row r="56" spans="1:5" ht="38.25" x14ac:dyDescent="0.25">
      <c r="A56" s="2">
        <v>55</v>
      </c>
      <c r="B56" s="3" t="s">
        <v>182</v>
      </c>
      <c r="C56" s="3" t="s">
        <v>189</v>
      </c>
      <c r="D56" s="3" t="s">
        <v>190</v>
      </c>
      <c r="E56" s="3" t="s">
        <v>191</v>
      </c>
    </row>
  </sheetData>
  <autoFilter ref="A1:E56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zoomScaleNormal="100" workbookViewId="0">
      <pane ySplit="1" topLeftCell="A2" activePane="bottomLeft" state="frozen"/>
      <selection pane="bottomLeft" activeCell="C8" sqref="C8"/>
    </sheetView>
  </sheetViews>
  <sheetFormatPr defaultColWidth="8.7109375" defaultRowHeight="15" x14ac:dyDescent="0.25"/>
  <cols>
    <col min="1" max="1" width="6" customWidth="1"/>
    <col min="2" max="2" width="36" customWidth="1"/>
    <col min="3" max="4" width="18" customWidth="1"/>
  </cols>
  <sheetData>
    <row r="1" spans="1:4" ht="25.5" x14ac:dyDescent="0.25">
      <c r="A1" s="1" t="s">
        <v>0</v>
      </c>
      <c r="B1" s="1" t="s">
        <v>192</v>
      </c>
      <c r="C1" s="1" t="s">
        <v>193</v>
      </c>
      <c r="D1" s="1" t="s">
        <v>194</v>
      </c>
    </row>
    <row r="2" spans="1:4" x14ac:dyDescent="0.25">
      <c r="A2" s="4">
        <v>1</v>
      </c>
      <c r="B2" s="5" t="s">
        <v>195</v>
      </c>
      <c r="C2" s="4">
        <f>SUMPRODUCT(--ISNUMBER(SEARCH(", "&amp;$B2&amp;",",", "&amp;'Hasil Ekstraksi'!$D$2:$D$56&amp;",")))</f>
        <v>33</v>
      </c>
      <c r="D2" s="6">
        <f>C2/COUNTA('Hasil Ekstraksi'!$A$2:$A$56)</f>
        <v>0.6</v>
      </c>
    </row>
    <row r="3" spans="1:4" x14ac:dyDescent="0.25">
      <c r="A3" s="4">
        <v>2</v>
      </c>
      <c r="B3" s="5" t="s">
        <v>196</v>
      </c>
      <c r="C3" s="4">
        <f>SUMPRODUCT(--ISNUMBER(SEARCH(", "&amp;$B3&amp;",",", "&amp;'Hasil Ekstraksi'!$D$2:$D$56&amp;",")))</f>
        <v>25</v>
      </c>
      <c r="D3" s="6">
        <f>C3/COUNTA('Hasil Ekstraksi'!$A$2:$A$56)</f>
        <v>0.45454545454545453</v>
      </c>
    </row>
    <row r="4" spans="1:4" x14ac:dyDescent="0.25">
      <c r="A4" s="4">
        <v>3</v>
      </c>
      <c r="B4" s="5" t="s">
        <v>197</v>
      </c>
      <c r="C4" s="4">
        <f>SUMPRODUCT(--ISNUMBER(SEARCH(", "&amp;$B4&amp;",",", "&amp;'Hasil Ekstraksi'!$D$2:$D$56&amp;",")))</f>
        <v>25</v>
      </c>
      <c r="D4" s="6">
        <f>C4/COUNTA('Hasil Ekstraksi'!$A$2:$A$56)</f>
        <v>0.45454545454545453</v>
      </c>
    </row>
    <row r="5" spans="1:4" x14ac:dyDescent="0.25">
      <c r="A5" s="4">
        <v>4</v>
      </c>
      <c r="B5" s="5" t="s">
        <v>198</v>
      </c>
      <c r="C5" s="4">
        <f>SUMPRODUCT(--ISNUMBER(SEARCH(", "&amp;$B5&amp;",",", "&amp;'Hasil Ekstraksi'!$D$2:$D$56&amp;",")))</f>
        <v>23</v>
      </c>
      <c r="D5" s="6">
        <f>C5/COUNTA('Hasil Ekstraksi'!$A$2:$A$56)</f>
        <v>0.41818181818181815</v>
      </c>
    </row>
    <row r="6" spans="1:4" x14ac:dyDescent="0.25">
      <c r="A6" s="4">
        <v>5</v>
      </c>
      <c r="B6" s="5" t="s">
        <v>199</v>
      </c>
      <c r="C6" s="4">
        <f>SUMPRODUCT(--ISNUMBER(SEARCH(", "&amp;$B6&amp;",",", "&amp;'Hasil Ekstraksi'!$D$2:$D$56&amp;",")))</f>
        <v>23</v>
      </c>
      <c r="D6" s="6">
        <f>C6/COUNTA('Hasil Ekstraksi'!$A$2:$A$56)</f>
        <v>0.41818181818181815</v>
      </c>
    </row>
    <row r="7" spans="1:4" x14ac:dyDescent="0.25">
      <c r="A7" s="4">
        <v>6</v>
      </c>
      <c r="B7" s="5" t="s">
        <v>200</v>
      </c>
      <c r="C7" s="4">
        <f>SUMPRODUCT(--ISNUMBER(SEARCH(", "&amp;$B7&amp;",",", "&amp;'Hasil Ekstraksi'!$D$2:$D$56&amp;",")))</f>
        <v>19</v>
      </c>
      <c r="D7" s="6">
        <f>C7/COUNTA('Hasil Ekstraksi'!$A$2:$A$56)</f>
        <v>0.34545454545454546</v>
      </c>
    </row>
    <row r="8" spans="1:4" x14ac:dyDescent="0.25">
      <c r="A8" s="4">
        <v>7</v>
      </c>
      <c r="B8" s="5" t="s">
        <v>201</v>
      </c>
      <c r="C8" s="4">
        <f>SUMPRODUCT(--ISNUMBER(SEARCH(", "&amp;$B8&amp;",",", "&amp;'Hasil Ekstraksi'!$D$2:$D$56&amp;",")))</f>
        <v>18</v>
      </c>
      <c r="D8" s="6">
        <f>C8/COUNTA('Hasil Ekstraksi'!$A$2:$A$56)</f>
        <v>0.32727272727272727</v>
      </c>
    </row>
    <row r="9" spans="1:4" x14ac:dyDescent="0.25">
      <c r="A9" s="4">
        <v>8</v>
      </c>
      <c r="B9" s="5" t="s">
        <v>202</v>
      </c>
      <c r="C9" s="4">
        <f>SUMPRODUCT(--ISNUMBER(SEARCH(", "&amp;$B9&amp;",",", "&amp;'Hasil Ekstraksi'!$D$2:$D$56&amp;",")))</f>
        <v>17</v>
      </c>
      <c r="D9" s="6">
        <f>C9/COUNTA('Hasil Ekstraksi'!$A$2:$A$56)</f>
        <v>0.30909090909090908</v>
      </c>
    </row>
    <row r="10" spans="1:4" x14ac:dyDescent="0.25">
      <c r="A10" s="4">
        <v>9</v>
      </c>
      <c r="B10" s="5" t="s">
        <v>203</v>
      </c>
      <c r="C10" s="4">
        <f>SUMPRODUCT(--ISNUMBER(SEARCH(", "&amp;$B10&amp;",",", "&amp;'Hasil Ekstraksi'!$D$2:$D$56&amp;",")))</f>
        <v>16</v>
      </c>
      <c r="D10" s="6">
        <f>C10/COUNTA('Hasil Ekstraksi'!$A$2:$A$56)</f>
        <v>0.29090909090909089</v>
      </c>
    </row>
    <row r="11" spans="1:4" x14ac:dyDescent="0.25">
      <c r="A11" s="4">
        <v>10</v>
      </c>
      <c r="B11" s="5" t="s">
        <v>204</v>
      </c>
      <c r="C11" s="4">
        <f>SUMPRODUCT(--ISNUMBER(SEARCH(", "&amp;$B11&amp;",",", "&amp;'Hasil Ekstraksi'!$D$2:$D$56&amp;",")))</f>
        <v>15</v>
      </c>
      <c r="D11" s="6">
        <f>C11/COUNTA('Hasil Ekstraksi'!$A$2:$A$56)</f>
        <v>0.27272727272727271</v>
      </c>
    </row>
    <row r="12" spans="1:4" x14ac:dyDescent="0.25">
      <c r="A12" s="4">
        <v>11</v>
      </c>
      <c r="B12" s="5" t="s">
        <v>205</v>
      </c>
      <c r="C12" s="4">
        <f>SUMPRODUCT(--ISNUMBER(SEARCH(", "&amp;$B12&amp;",",", "&amp;'Hasil Ekstraksi'!$D$2:$D$56&amp;",")))</f>
        <v>13</v>
      </c>
      <c r="D12" s="6">
        <f>C12/COUNTA('Hasil Ekstraksi'!$A$2:$A$56)</f>
        <v>0.23636363636363636</v>
      </c>
    </row>
    <row r="13" spans="1:4" x14ac:dyDescent="0.25">
      <c r="A13" s="4">
        <v>12</v>
      </c>
      <c r="B13" s="5" t="s">
        <v>206</v>
      </c>
      <c r="C13" s="4">
        <f>SUMPRODUCT(--ISNUMBER(SEARCH(", "&amp;$B13&amp;",",", "&amp;'Hasil Ekstraksi'!$D$2:$D$56&amp;",")))</f>
        <v>12</v>
      </c>
      <c r="D13" s="6">
        <f>C13/COUNTA('Hasil Ekstraksi'!$A$2:$A$56)</f>
        <v>0.21818181818181817</v>
      </c>
    </row>
    <row r="14" spans="1:4" x14ac:dyDescent="0.25">
      <c r="A14" s="4">
        <v>13</v>
      </c>
      <c r="B14" s="5" t="s">
        <v>207</v>
      </c>
      <c r="C14" s="4">
        <f>SUMPRODUCT(--ISNUMBER(SEARCH(", "&amp;$B14&amp;",",", "&amp;'Hasil Ekstraksi'!$D$2:$D$56&amp;",")))</f>
        <v>11</v>
      </c>
      <c r="D14" s="6">
        <f>C14/COUNTA('Hasil Ekstraksi'!$A$2:$A$56)</f>
        <v>0.2</v>
      </c>
    </row>
    <row r="15" spans="1:4" x14ac:dyDescent="0.25">
      <c r="A15" s="4">
        <v>14</v>
      </c>
      <c r="B15" s="5" t="s">
        <v>208</v>
      </c>
      <c r="C15" s="4">
        <f>SUMPRODUCT(--ISNUMBER(SEARCH(", "&amp;$B15&amp;",",", "&amp;'Hasil Ekstraksi'!$D$2:$D$56&amp;",")))</f>
        <v>11</v>
      </c>
      <c r="D15" s="6">
        <f>C15/COUNTA('Hasil Ekstraksi'!$A$2:$A$56)</f>
        <v>0.2</v>
      </c>
    </row>
    <row r="16" spans="1:4" x14ac:dyDescent="0.25">
      <c r="A16" s="4">
        <v>15</v>
      </c>
      <c r="B16" s="5" t="s">
        <v>209</v>
      </c>
      <c r="C16" s="4">
        <f>SUMPRODUCT(--ISNUMBER(SEARCH(", "&amp;$B16&amp;",",", "&amp;'Hasil Ekstraksi'!$D$2:$D$56&amp;",")))</f>
        <v>10</v>
      </c>
      <c r="D16" s="6">
        <f>C16/COUNTA('Hasil Ekstraksi'!$A$2:$A$56)</f>
        <v>0.18181818181818182</v>
      </c>
    </row>
    <row r="17" spans="1:4" x14ac:dyDescent="0.25">
      <c r="A17" s="4">
        <v>16</v>
      </c>
      <c r="B17" s="5" t="s">
        <v>210</v>
      </c>
      <c r="C17" s="4">
        <f>SUMPRODUCT(--ISNUMBER(SEARCH(", "&amp;$B17&amp;",",", "&amp;'Hasil Ekstraksi'!$D$2:$D$56&amp;",")))</f>
        <v>9</v>
      </c>
      <c r="D17" s="6">
        <f>C17/COUNTA('Hasil Ekstraksi'!$A$2:$A$56)</f>
        <v>0.16363636363636364</v>
      </c>
    </row>
    <row r="18" spans="1:4" x14ac:dyDescent="0.25">
      <c r="A18" s="4">
        <v>17</v>
      </c>
      <c r="B18" s="5" t="s">
        <v>211</v>
      </c>
      <c r="C18" s="4">
        <f>SUMPRODUCT(--ISNUMBER(SEARCH(", "&amp;$B18&amp;",",", "&amp;'Hasil Ekstraksi'!$D$2:$D$56&amp;",")))</f>
        <v>9</v>
      </c>
      <c r="D18" s="6">
        <f>C18/COUNTA('Hasil Ekstraksi'!$A$2:$A$56)</f>
        <v>0.16363636363636364</v>
      </c>
    </row>
    <row r="19" spans="1:4" x14ac:dyDescent="0.25">
      <c r="A19" s="4">
        <v>18</v>
      </c>
      <c r="B19" s="5" t="s">
        <v>212</v>
      </c>
      <c r="C19" s="4">
        <f>SUMPRODUCT(--ISNUMBER(SEARCH(", "&amp;$B19&amp;",",", "&amp;'Hasil Ekstraksi'!$D$2:$D$56&amp;",")))</f>
        <v>8</v>
      </c>
      <c r="D19" s="6">
        <f>C19/COUNTA('Hasil Ekstraksi'!$A$2:$A$56)</f>
        <v>0.14545454545454545</v>
      </c>
    </row>
    <row r="20" spans="1:4" x14ac:dyDescent="0.25">
      <c r="A20" s="4">
        <v>19</v>
      </c>
      <c r="B20" s="5" t="s">
        <v>213</v>
      </c>
      <c r="C20" s="4">
        <f>SUMPRODUCT(--ISNUMBER(SEARCH(", "&amp;$B20&amp;",",", "&amp;'Hasil Ekstraksi'!$D$2:$D$56&amp;",")))</f>
        <v>7</v>
      </c>
      <c r="D20" s="6">
        <f>C20/COUNTA('Hasil Ekstraksi'!$A$2:$A$56)</f>
        <v>0.12727272727272726</v>
      </c>
    </row>
    <row r="21" spans="1:4" x14ac:dyDescent="0.25">
      <c r="A21" s="4">
        <v>20</v>
      </c>
      <c r="B21" s="5" t="s">
        <v>214</v>
      </c>
      <c r="C21" s="4">
        <f>SUMPRODUCT(--ISNUMBER(SEARCH(", "&amp;$B21&amp;",",", "&amp;'Hasil Ekstraksi'!$D$2:$D$56&amp;",")))</f>
        <v>6</v>
      </c>
      <c r="D21" s="6">
        <f>C21/COUNTA('Hasil Ekstraksi'!$A$2:$A$56)</f>
        <v>0.10909090909090909</v>
      </c>
    </row>
    <row r="22" spans="1:4" x14ac:dyDescent="0.25">
      <c r="A22" s="4">
        <v>21</v>
      </c>
      <c r="B22" s="5" t="s">
        <v>215</v>
      </c>
      <c r="C22" s="4">
        <f>SUMPRODUCT(--ISNUMBER(SEARCH(", "&amp;$B22&amp;",",", "&amp;'Hasil Ekstraksi'!$D$2:$D$56&amp;",")))</f>
        <v>6</v>
      </c>
      <c r="D22" s="6">
        <f>C22/COUNTA('Hasil Ekstraksi'!$A$2:$A$56)</f>
        <v>0.10909090909090909</v>
      </c>
    </row>
    <row r="23" spans="1:4" x14ac:dyDescent="0.25">
      <c r="A23" s="4">
        <v>22</v>
      </c>
      <c r="B23" s="5" t="s">
        <v>216</v>
      </c>
      <c r="C23" s="4">
        <f>SUMPRODUCT(--ISNUMBER(SEARCH(", "&amp;$B23&amp;",",", "&amp;'Hasil Ekstraksi'!$D$2:$D$56&amp;",")))</f>
        <v>5</v>
      </c>
      <c r="D23" s="6">
        <f>C23/COUNTA('Hasil Ekstraksi'!$A$2:$A$56)</f>
        <v>9.0909090909090912E-2</v>
      </c>
    </row>
    <row r="24" spans="1:4" x14ac:dyDescent="0.25">
      <c r="A24" s="4">
        <v>23</v>
      </c>
      <c r="B24" s="5" t="s">
        <v>217</v>
      </c>
      <c r="C24" s="4">
        <f>SUMPRODUCT(--ISNUMBER(SEARCH(", "&amp;$B24&amp;",",", "&amp;'Hasil Ekstraksi'!$D$2:$D$56&amp;",")))</f>
        <v>5</v>
      </c>
      <c r="D24" s="6">
        <f>C24/COUNTA('Hasil Ekstraksi'!$A$2:$A$56)</f>
        <v>9.0909090909090912E-2</v>
      </c>
    </row>
    <row r="25" spans="1:4" x14ac:dyDescent="0.25">
      <c r="A25" s="4">
        <v>24</v>
      </c>
      <c r="B25" s="5" t="s">
        <v>218</v>
      </c>
      <c r="C25" s="4">
        <f>SUMPRODUCT(--ISNUMBER(SEARCH(", "&amp;$B25&amp;",",", "&amp;'Hasil Ekstraksi'!$D$2:$D$56&amp;",")))</f>
        <v>4</v>
      </c>
      <c r="D25" s="6">
        <f>C25/COUNTA('Hasil Ekstraksi'!$A$2:$A$56)</f>
        <v>7.2727272727272724E-2</v>
      </c>
    </row>
    <row r="26" spans="1:4" x14ac:dyDescent="0.25">
      <c r="A26" s="4">
        <v>25</v>
      </c>
      <c r="B26" s="5" t="s">
        <v>219</v>
      </c>
      <c r="C26" s="4">
        <f>SUMPRODUCT(--ISNUMBER(SEARCH(", "&amp;$B26&amp;",",", "&amp;'Hasil Ekstraksi'!$D$2:$D$56&amp;",")))</f>
        <v>4</v>
      </c>
      <c r="D26" s="6">
        <f>C26/COUNTA('Hasil Ekstraksi'!$A$2:$A$56)</f>
        <v>7.2727272727272724E-2</v>
      </c>
    </row>
    <row r="27" spans="1:4" x14ac:dyDescent="0.25">
      <c r="A27" s="4">
        <v>26</v>
      </c>
      <c r="B27" s="5" t="s">
        <v>220</v>
      </c>
      <c r="C27" s="4">
        <f>SUMPRODUCT(--ISNUMBER(SEARCH(", "&amp;$B27&amp;",",", "&amp;'Hasil Ekstraksi'!$D$2:$D$56&amp;",")))</f>
        <v>4</v>
      </c>
      <c r="D27" s="6">
        <f>C27/COUNTA('Hasil Ekstraksi'!$A$2:$A$56)</f>
        <v>7.2727272727272724E-2</v>
      </c>
    </row>
    <row r="28" spans="1:4" x14ac:dyDescent="0.25">
      <c r="A28" s="4">
        <v>27</v>
      </c>
      <c r="B28" s="5" t="s">
        <v>221</v>
      </c>
      <c r="C28" s="4">
        <f>SUMPRODUCT(--ISNUMBER(SEARCH(", "&amp;$B28&amp;",",", "&amp;'Hasil Ekstraksi'!$D$2:$D$56&amp;",")))</f>
        <v>4</v>
      </c>
      <c r="D28" s="6">
        <f>C28/COUNTA('Hasil Ekstraksi'!$A$2:$A$56)</f>
        <v>7.2727272727272724E-2</v>
      </c>
    </row>
    <row r="29" spans="1:4" x14ac:dyDescent="0.25">
      <c r="A29" s="4">
        <v>28</v>
      </c>
      <c r="B29" s="5" t="s">
        <v>222</v>
      </c>
      <c r="C29" s="4">
        <f>SUMPRODUCT(--ISNUMBER(SEARCH(", "&amp;$B29&amp;",",", "&amp;'Hasil Ekstraksi'!$D$2:$D$56&amp;",")))</f>
        <v>4</v>
      </c>
      <c r="D29" s="6">
        <f>C29/COUNTA('Hasil Ekstraksi'!$A$2:$A$56)</f>
        <v>7.2727272727272724E-2</v>
      </c>
    </row>
    <row r="30" spans="1:4" x14ac:dyDescent="0.25">
      <c r="A30" s="4">
        <v>29</v>
      </c>
      <c r="B30" s="5" t="s">
        <v>223</v>
      </c>
      <c r="C30" s="4">
        <f>SUMPRODUCT(--ISNUMBER(SEARCH(", "&amp;$B30&amp;",",", "&amp;'Hasil Ekstraksi'!$D$2:$D$56&amp;",")))</f>
        <v>4</v>
      </c>
      <c r="D30" s="6">
        <f>C30/COUNTA('Hasil Ekstraksi'!$A$2:$A$56)</f>
        <v>7.2727272727272724E-2</v>
      </c>
    </row>
    <row r="31" spans="1:4" x14ac:dyDescent="0.25">
      <c r="A31" s="4">
        <v>30</v>
      </c>
      <c r="B31" s="5" t="s">
        <v>224</v>
      </c>
      <c r="C31" s="4">
        <f>SUMPRODUCT(--ISNUMBER(SEARCH(", "&amp;$B31&amp;",",", "&amp;'Hasil Ekstraksi'!$D$2:$D$56&amp;",")))</f>
        <v>4</v>
      </c>
      <c r="D31" s="6">
        <f>C31/COUNTA('Hasil Ekstraksi'!$A$2:$A$56)</f>
        <v>7.2727272727272724E-2</v>
      </c>
    </row>
    <row r="32" spans="1:4" x14ac:dyDescent="0.25">
      <c r="A32" s="4">
        <v>31</v>
      </c>
      <c r="B32" s="5" t="s">
        <v>225</v>
      </c>
      <c r="C32" s="4">
        <f>SUMPRODUCT(--ISNUMBER(SEARCH(", "&amp;$B32&amp;",",", "&amp;'Hasil Ekstraksi'!$D$2:$D$56&amp;",")))</f>
        <v>4</v>
      </c>
      <c r="D32" s="6">
        <f>C32/COUNTA('Hasil Ekstraksi'!$A$2:$A$56)</f>
        <v>7.2727272727272724E-2</v>
      </c>
    </row>
    <row r="33" spans="1:4" x14ac:dyDescent="0.25">
      <c r="A33" s="4">
        <v>32</v>
      </c>
      <c r="B33" s="5" t="s">
        <v>226</v>
      </c>
      <c r="C33" s="4">
        <f>SUMPRODUCT(--ISNUMBER(SEARCH(", "&amp;$B33&amp;",",", "&amp;'Hasil Ekstraksi'!$D$2:$D$56&amp;",")))</f>
        <v>3</v>
      </c>
      <c r="D33" s="6">
        <f>C33/COUNTA('Hasil Ekstraksi'!$A$2:$A$56)</f>
        <v>5.4545454545454543E-2</v>
      </c>
    </row>
    <row r="34" spans="1:4" x14ac:dyDescent="0.25">
      <c r="A34" s="4">
        <v>33</v>
      </c>
      <c r="B34" s="5" t="s">
        <v>227</v>
      </c>
      <c r="C34" s="4">
        <f>SUMPRODUCT(--ISNUMBER(SEARCH(", "&amp;$B34&amp;",",", "&amp;'Hasil Ekstraksi'!$D$2:$D$56&amp;",")))</f>
        <v>3</v>
      </c>
      <c r="D34" s="6">
        <f>C34/COUNTA('Hasil Ekstraksi'!$A$2:$A$56)</f>
        <v>5.4545454545454543E-2</v>
      </c>
    </row>
    <row r="35" spans="1:4" x14ac:dyDescent="0.25">
      <c r="A35" s="4">
        <v>34</v>
      </c>
      <c r="B35" s="5" t="s">
        <v>228</v>
      </c>
      <c r="C35" s="4">
        <f>SUMPRODUCT(--ISNUMBER(SEARCH(", "&amp;$B35&amp;",",", "&amp;'Hasil Ekstraksi'!$D$2:$D$56&amp;",")))</f>
        <v>3</v>
      </c>
      <c r="D35" s="6">
        <f>C35/COUNTA('Hasil Ekstraksi'!$A$2:$A$56)</f>
        <v>5.4545454545454543E-2</v>
      </c>
    </row>
    <row r="36" spans="1:4" x14ac:dyDescent="0.25">
      <c r="A36" s="4">
        <v>35</v>
      </c>
      <c r="B36" s="5" t="s">
        <v>229</v>
      </c>
      <c r="C36" s="4">
        <f>SUMPRODUCT(--ISNUMBER(SEARCH(", "&amp;$B36&amp;",",", "&amp;'Hasil Ekstraksi'!$D$2:$D$56&amp;",")))</f>
        <v>3</v>
      </c>
      <c r="D36" s="6">
        <f>C36/COUNTA('Hasil Ekstraksi'!$A$2:$A$56)</f>
        <v>5.4545454545454543E-2</v>
      </c>
    </row>
    <row r="37" spans="1:4" x14ac:dyDescent="0.25">
      <c r="A37" s="4">
        <v>36</v>
      </c>
      <c r="B37" s="5" t="s">
        <v>230</v>
      </c>
      <c r="C37" s="4">
        <f>SUMPRODUCT(--ISNUMBER(SEARCH(", "&amp;$B37&amp;",",", "&amp;'Hasil Ekstraksi'!$D$2:$D$56&amp;",")))</f>
        <v>1</v>
      </c>
      <c r="D37" s="6">
        <f>C37/COUNTA('Hasil Ekstraksi'!$A$2:$A$56)</f>
        <v>1.8181818181818181E-2</v>
      </c>
    </row>
    <row r="38" spans="1:4" x14ac:dyDescent="0.25">
      <c r="A38" s="4">
        <v>37</v>
      </c>
      <c r="B38" s="5" t="s">
        <v>231</v>
      </c>
      <c r="C38" s="4">
        <f>SUMPRODUCT(--ISNUMBER(SEARCH(", "&amp;$B38&amp;",",", "&amp;'Hasil Ekstraksi'!$D$2:$D$56&amp;",")))</f>
        <v>1</v>
      </c>
      <c r="D38" s="6">
        <f>C38/COUNTA('Hasil Ekstraksi'!$A$2:$A$56)</f>
        <v>1.8181818181818181E-2</v>
      </c>
    </row>
    <row r="39" spans="1:4" x14ac:dyDescent="0.25">
      <c r="A39" s="4">
        <v>38</v>
      </c>
      <c r="B39" s="5" t="s">
        <v>232</v>
      </c>
      <c r="C39" s="4">
        <f>SUMPRODUCT(--ISNUMBER(SEARCH(", "&amp;$B39&amp;",",", "&amp;'Hasil Ekstraksi'!$D$2:$D$56&amp;",")))</f>
        <v>1</v>
      </c>
      <c r="D39" s="6">
        <f>C39/COUNTA('Hasil Ekstraksi'!$A$2:$A$56)</f>
        <v>1.8181818181818181E-2</v>
      </c>
    </row>
    <row r="40" spans="1:4" x14ac:dyDescent="0.25">
      <c r="A40" s="4">
        <v>39</v>
      </c>
      <c r="B40" s="5" t="s">
        <v>233</v>
      </c>
      <c r="C40" s="4">
        <f>SUMPRODUCT(--ISNUMBER(SEARCH(", "&amp;$B40&amp;",",", "&amp;'Hasil Ekstraksi'!$D$2:$D$56&amp;",")))</f>
        <v>1</v>
      </c>
      <c r="D40" s="6">
        <f>C40/COUNTA('Hasil Ekstraksi'!$A$2:$A$56)</f>
        <v>1.8181818181818181E-2</v>
      </c>
    </row>
    <row r="41" spans="1:4" x14ac:dyDescent="0.25">
      <c r="A41" s="4">
        <v>40</v>
      </c>
      <c r="B41" s="5" t="s">
        <v>234</v>
      </c>
      <c r="C41" s="4">
        <f>SUMPRODUCT(--ISNUMBER(SEARCH(", "&amp;$B41&amp;",",", "&amp;'Hasil Ekstraksi'!$D$2:$D$56&amp;",")))</f>
        <v>1</v>
      </c>
      <c r="D41" s="6">
        <f>C41/COUNTA('Hasil Ekstraksi'!$A$2:$A$56)</f>
        <v>1.8181818181818181E-2</v>
      </c>
    </row>
    <row r="42" spans="1:4" x14ac:dyDescent="0.25">
      <c r="A42" s="4">
        <v>41</v>
      </c>
      <c r="B42" s="5" t="s">
        <v>235</v>
      </c>
      <c r="C42" s="4">
        <f>SUMPRODUCT(--ISNUMBER(SEARCH(", "&amp;$B42&amp;",",", "&amp;'Hasil Ekstraksi'!$D$2:$D$56&amp;",")))</f>
        <v>1</v>
      </c>
      <c r="D42" s="6">
        <f>C42/COUNTA('Hasil Ekstraksi'!$A$2:$A$56)</f>
        <v>1.8181818181818181E-2</v>
      </c>
    </row>
    <row r="44" spans="1:4" x14ac:dyDescent="0.25">
      <c r="A44" s="7" t="s"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zoomScaleNormal="100" workbookViewId="0">
      <pane ySplit="1" topLeftCell="A2" activePane="bottomLeft" state="frozen"/>
      <selection pane="bottomLeft" activeCell="B23" sqref="B23"/>
    </sheetView>
  </sheetViews>
  <sheetFormatPr defaultColWidth="8.7109375" defaultRowHeight="15" x14ac:dyDescent="0.25"/>
  <cols>
    <col min="1" max="1" width="6" customWidth="1"/>
    <col min="2" max="2" width="36" customWidth="1"/>
    <col min="3" max="4" width="18" customWidth="1"/>
  </cols>
  <sheetData>
    <row r="1" spans="1:4" ht="25.5" x14ac:dyDescent="0.25">
      <c r="A1" s="1" t="s">
        <v>0</v>
      </c>
      <c r="B1" s="1" t="s">
        <v>192</v>
      </c>
      <c r="C1" s="1" t="s">
        <v>193</v>
      </c>
      <c r="D1" s="1" t="s">
        <v>194</v>
      </c>
    </row>
    <row r="2" spans="1:4" x14ac:dyDescent="0.25">
      <c r="A2" s="4">
        <v>1</v>
      </c>
      <c r="B2" s="5" t="s">
        <v>67</v>
      </c>
      <c r="C2" s="4">
        <f>SUMPRODUCT(--ISNUMBER(SEARCH(", "&amp;$B2&amp;",",", "&amp;'Hasil Ekstraksi'!$E$2:$E$56&amp;",")))</f>
        <v>38</v>
      </c>
      <c r="D2" s="6">
        <f>C2/COUNTA('Hasil Ekstraksi'!$A$2:$A$56)</f>
        <v>0.69090909090909092</v>
      </c>
    </row>
    <row r="3" spans="1:4" x14ac:dyDescent="0.25">
      <c r="A3" s="4">
        <v>2</v>
      </c>
      <c r="B3" s="5" t="s">
        <v>237</v>
      </c>
      <c r="C3" s="4">
        <f>SUMPRODUCT(--ISNUMBER(SEARCH(", "&amp;$B3&amp;",",", "&amp;'Hasil Ekstraksi'!$E$2:$E$56&amp;",")))</f>
        <v>29</v>
      </c>
      <c r="D3" s="6">
        <f>C3/COUNTA('Hasil Ekstraksi'!$A$2:$A$56)</f>
        <v>0.52727272727272723</v>
      </c>
    </row>
    <row r="4" spans="1:4" x14ac:dyDescent="0.25">
      <c r="A4" s="4">
        <v>3</v>
      </c>
      <c r="B4" s="5" t="s">
        <v>238</v>
      </c>
      <c r="C4" s="4">
        <f>SUMPRODUCT(--ISNUMBER(SEARCH(", "&amp;$B4&amp;",",", "&amp;'Hasil Ekstraksi'!$E$2:$E$56&amp;",")))</f>
        <v>24</v>
      </c>
      <c r="D4" s="6">
        <f>C4/COUNTA('Hasil Ekstraksi'!$A$2:$A$56)</f>
        <v>0.43636363636363634</v>
      </c>
    </row>
    <row r="5" spans="1:4" x14ac:dyDescent="0.25">
      <c r="A5" s="4">
        <v>4</v>
      </c>
      <c r="B5" s="5" t="s">
        <v>239</v>
      </c>
      <c r="C5" s="4">
        <f>SUMPRODUCT(--ISNUMBER(SEARCH(", "&amp;$B5&amp;",",", "&amp;'Hasil Ekstraksi'!$E$2:$E$56&amp;",")))</f>
        <v>22</v>
      </c>
      <c r="D5" s="6">
        <f>C5/COUNTA('Hasil Ekstraksi'!$A$2:$A$56)</f>
        <v>0.4</v>
      </c>
    </row>
    <row r="6" spans="1:4" x14ac:dyDescent="0.25">
      <c r="A6" s="4">
        <v>5</v>
      </c>
      <c r="B6" s="5" t="s">
        <v>240</v>
      </c>
      <c r="C6" s="4">
        <f>SUMPRODUCT(--ISNUMBER(SEARCH(", "&amp;$B6&amp;",",", "&amp;'Hasil Ekstraksi'!$E$2:$E$56&amp;",")))</f>
        <v>20</v>
      </c>
      <c r="D6" s="6">
        <f>C6/COUNTA('Hasil Ekstraksi'!$A$2:$A$56)</f>
        <v>0.36363636363636365</v>
      </c>
    </row>
    <row r="7" spans="1:4" x14ac:dyDescent="0.25">
      <c r="A7" s="4">
        <v>6</v>
      </c>
      <c r="B7" s="5" t="s">
        <v>241</v>
      </c>
      <c r="C7" s="4">
        <f>SUMPRODUCT(--ISNUMBER(SEARCH(", "&amp;$B7&amp;",",", "&amp;'Hasil Ekstraksi'!$E$2:$E$56&amp;",")))</f>
        <v>16</v>
      </c>
      <c r="D7" s="6">
        <f>C7/COUNTA('Hasil Ekstraksi'!$A$2:$A$56)</f>
        <v>0.29090909090909089</v>
      </c>
    </row>
    <row r="8" spans="1:4" x14ac:dyDescent="0.25">
      <c r="A8" s="4">
        <v>7</v>
      </c>
      <c r="B8" s="5" t="s">
        <v>108</v>
      </c>
      <c r="C8" s="4">
        <f>SUMPRODUCT(--ISNUMBER(SEARCH(", "&amp;$B8&amp;",",", "&amp;'Hasil Ekstraksi'!$E$2:$E$56&amp;",")))</f>
        <v>14</v>
      </c>
      <c r="D8" s="6">
        <f>C8/COUNTA('Hasil Ekstraksi'!$A$2:$A$56)</f>
        <v>0.25454545454545452</v>
      </c>
    </row>
    <row r="9" spans="1:4" x14ac:dyDescent="0.25">
      <c r="A9" s="4">
        <v>8</v>
      </c>
      <c r="B9" s="5" t="s">
        <v>242</v>
      </c>
      <c r="C9" s="4">
        <f>SUMPRODUCT(--ISNUMBER(SEARCH(", "&amp;$B9&amp;",",", "&amp;'Hasil Ekstraksi'!$E$2:$E$56&amp;",")))</f>
        <v>12</v>
      </c>
      <c r="D9" s="6">
        <f>C9/COUNTA('Hasil Ekstraksi'!$A$2:$A$56)</f>
        <v>0.21818181818181817</v>
      </c>
    </row>
    <row r="10" spans="1:4" x14ac:dyDescent="0.25">
      <c r="A10" s="4">
        <v>9</v>
      </c>
      <c r="B10" s="5" t="s">
        <v>243</v>
      </c>
      <c r="C10" s="4">
        <f>SUMPRODUCT(--ISNUMBER(SEARCH(", "&amp;$B10&amp;",",", "&amp;'Hasil Ekstraksi'!$E$2:$E$56&amp;",")))</f>
        <v>11</v>
      </c>
      <c r="D10" s="6">
        <f>C10/COUNTA('Hasil Ekstraksi'!$A$2:$A$56)</f>
        <v>0.2</v>
      </c>
    </row>
    <row r="11" spans="1:4" x14ac:dyDescent="0.25">
      <c r="A11" s="4">
        <v>10</v>
      </c>
      <c r="B11" s="5" t="s">
        <v>244</v>
      </c>
      <c r="C11" s="4">
        <f>SUMPRODUCT(--ISNUMBER(SEARCH(", "&amp;$B11&amp;",",", "&amp;'Hasil Ekstraksi'!$E$2:$E$56&amp;",")))</f>
        <v>9</v>
      </c>
      <c r="D11" s="6">
        <f>C11/COUNTA('Hasil Ekstraksi'!$A$2:$A$56)</f>
        <v>0.16363636363636364</v>
      </c>
    </row>
    <row r="12" spans="1:4" x14ac:dyDescent="0.25">
      <c r="A12" s="4">
        <v>11</v>
      </c>
      <c r="B12" s="5" t="s">
        <v>245</v>
      </c>
      <c r="C12" s="4">
        <f>SUMPRODUCT(--ISNUMBER(SEARCH(", "&amp;$B12&amp;",",", "&amp;'Hasil Ekstraksi'!$E$2:$E$56&amp;",")))</f>
        <v>8</v>
      </c>
      <c r="D12" s="6">
        <f>C12/COUNTA('Hasil Ekstraksi'!$A$2:$A$56)</f>
        <v>0.14545454545454545</v>
      </c>
    </row>
    <row r="13" spans="1:4" x14ac:dyDescent="0.25">
      <c r="A13" s="4">
        <v>12</v>
      </c>
      <c r="B13" s="5" t="s">
        <v>246</v>
      </c>
      <c r="C13" s="4">
        <f>SUMPRODUCT(--ISNUMBER(SEARCH(", "&amp;$B13&amp;",",", "&amp;'Hasil Ekstraksi'!$E$2:$E$56&amp;",")))</f>
        <v>8</v>
      </c>
      <c r="D13" s="6">
        <f>C13/COUNTA('Hasil Ekstraksi'!$A$2:$A$56)</f>
        <v>0.14545454545454545</v>
      </c>
    </row>
    <row r="14" spans="1:4" x14ac:dyDescent="0.25">
      <c r="A14" s="4">
        <v>13</v>
      </c>
      <c r="B14" s="5" t="s">
        <v>247</v>
      </c>
      <c r="C14" s="4">
        <f>SUMPRODUCT(--ISNUMBER(SEARCH(", "&amp;$B14&amp;",",", "&amp;'Hasil Ekstraksi'!$E$2:$E$56&amp;",")))</f>
        <v>5</v>
      </c>
      <c r="D14" s="6">
        <f>C14/COUNTA('Hasil Ekstraksi'!$A$2:$A$56)</f>
        <v>9.0909090909090912E-2</v>
      </c>
    </row>
    <row r="15" spans="1:4" x14ac:dyDescent="0.25">
      <c r="A15" s="4">
        <v>14</v>
      </c>
      <c r="B15" s="5" t="s">
        <v>248</v>
      </c>
      <c r="C15" s="4">
        <f>SUMPRODUCT(--ISNUMBER(SEARCH(", "&amp;$B15&amp;",",", "&amp;'Hasil Ekstraksi'!$E$2:$E$56&amp;",")))</f>
        <v>3</v>
      </c>
      <c r="D15" s="6">
        <f>C15/COUNTA('Hasil Ekstraksi'!$A$2:$A$56)</f>
        <v>5.4545454545454543E-2</v>
      </c>
    </row>
    <row r="16" spans="1:4" x14ac:dyDescent="0.25">
      <c r="A16" s="4">
        <v>15</v>
      </c>
      <c r="B16" s="5" t="s">
        <v>249</v>
      </c>
      <c r="C16" s="4">
        <f>SUMPRODUCT(--ISNUMBER(SEARCH(", "&amp;$B16&amp;",",", "&amp;'Hasil Ekstraksi'!$E$2:$E$56&amp;",")))</f>
        <v>3</v>
      </c>
      <c r="D16" s="6">
        <f>C16/COUNTA('Hasil Ekstraksi'!$A$2:$A$56)</f>
        <v>5.4545454545454543E-2</v>
      </c>
    </row>
    <row r="17" spans="1:4" x14ac:dyDescent="0.25">
      <c r="A17" s="4">
        <v>16</v>
      </c>
      <c r="B17" s="5" t="s">
        <v>250</v>
      </c>
      <c r="C17" s="4">
        <f>SUMPRODUCT(--ISNUMBER(SEARCH(", "&amp;$B17&amp;",",", "&amp;'Hasil Ekstraksi'!$E$2:$E$56&amp;",")))</f>
        <v>2</v>
      </c>
      <c r="D17" s="6">
        <f>C17/COUNTA('Hasil Ekstraksi'!$A$2:$A$56)</f>
        <v>3.6363636363636362E-2</v>
      </c>
    </row>
    <row r="18" spans="1:4" x14ac:dyDescent="0.25">
      <c r="A18" s="4">
        <v>17</v>
      </c>
      <c r="B18" s="5" t="s">
        <v>251</v>
      </c>
      <c r="C18" s="4">
        <f>SUMPRODUCT(--ISNUMBER(SEARCH(", "&amp;$B18&amp;",",", "&amp;'Hasil Ekstraksi'!$E$2:$E$56&amp;",")))</f>
        <v>2</v>
      </c>
      <c r="D18" s="6">
        <f>C18/COUNTA('Hasil Ekstraksi'!$A$2:$A$56)</f>
        <v>3.6363636363636362E-2</v>
      </c>
    </row>
    <row r="20" spans="1:4" x14ac:dyDescent="0.25">
      <c r="A20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Ekstraksi</vt:lpstr>
      <vt:lpstr>Ringkasan Hard Skills</vt:lpstr>
      <vt:lpstr>Ringkasan Soft Skills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revision>0</cp:revision>
  <dcterms:created xsi:type="dcterms:W3CDTF">2026-10-10T22:58:50Z</dcterms:created>
  <dcterms:modified xsi:type="dcterms:W3CDTF">2026-10-10T23:01:06Z</dcterms:modified>
  <dc:language>en-US</dc:language>
</cp:coreProperties>
</file>