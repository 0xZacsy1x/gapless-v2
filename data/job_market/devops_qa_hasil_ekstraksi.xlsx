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2"/>
  </bookViews>
  <sheets>
    <sheet name="Hasil Ekstraksi" sheetId="1" r:id="rId1"/>
    <sheet name="Ringkasan Hard Skills" sheetId="2" r:id="rId2"/>
    <sheet name="Ringkasan Soft Skills" sheetId="3" r:id="rId3"/>
  </sheets>
  <definedNames>
    <definedName name="_xlnm._FilterDatabase" localSheetId="0" hidden="1">'Hasil Ekstraksi'!$A$1:$E$44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3" l="1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</calcChain>
</file>

<file path=xl/sharedStrings.xml><?xml version="1.0" encoding="utf-8"?>
<sst xmlns="http://schemas.openxmlformats.org/spreadsheetml/2006/main" count="232" uniqueCount="204">
  <si>
    <t>No</t>
  </si>
  <si>
    <t>Nama Perusahaan</t>
  </si>
  <si>
    <t>Job Title</t>
  </si>
  <si>
    <t>Extracted Hard Skills</t>
  </si>
  <si>
    <t>Extracted Soft Skills</t>
  </si>
  <si>
    <t>tiket.com</t>
  </si>
  <si>
    <t>DevOps Engineer I</t>
  </si>
  <si>
    <t>Google Cloud Platform, Jenkins, Ansible, Bash Scripting, Python, Test Automation Framework, ArgoCD &amp; GitOps</t>
  </si>
  <si>
    <t>Communication Skills, Continuous Improvement Mindset</t>
  </si>
  <si>
    <t>Cube</t>
  </si>
  <si>
    <t>DevOps Engineer / Cloud Engineer</t>
  </si>
  <si>
    <t>CI/CD Pipeline, Docker, Kubernetes, Linux Administration, Bash Scripting, Python, Infrastructure as Code</t>
  </si>
  <si>
    <t>Problem Solving, Cross-Functional Collaboration, Learning Agility</t>
  </si>
  <si>
    <t>Roketin - PT Roketin Kreatif Teknologi</t>
  </si>
  <si>
    <t>Junior DevOps Engineer</t>
  </si>
  <si>
    <t>Linux Administration, AWS, Google Cloud Platform, Microsoft Azure, Docker, CI/CD Pipeline, Jenkins</t>
  </si>
  <si>
    <t>Problem Solving, Ownership Mindset, Team Collaboration, Independent Work, Adaptability to Change</t>
  </si>
  <si>
    <t>Firerock Indonesia</t>
  </si>
  <si>
    <t>DevOps Engineer</t>
  </si>
  <si>
    <t>Kubernetes, CI/CD Pipeline, GitHub Actions, Jenkins, Prometheus &amp; Grafana, Linux Administration, Docker</t>
  </si>
  <si>
    <t>Problem Solving, Working Under Pressure, Creative Thinking</t>
  </si>
  <si>
    <t>Kredivo Group</t>
  </si>
  <si>
    <t>Senior InfraOps Engineer (SDE 3)</t>
  </si>
  <si>
    <t>CI/CD Pipeline, Infrastructure as Code, AWS, Google Cloud Platform, Kubernetes, Docker, ArgoCD &amp; GitOps</t>
  </si>
  <si>
    <t>Problem Solving, Communication Skills, Cross-Functional Collaboration, Ownership Mindset, Proactive Initiative</t>
  </si>
  <si>
    <t>Blibli</t>
  </si>
  <si>
    <t>Site Reliability Engineer – Platform Engineer</t>
  </si>
  <si>
    <t>Infrastructure as Code, Google Cloud Platform, AWS, Terraform, ArgoCD &amp; GitOps, Kubernetes, CI/CD Pipeline</t>
  </si>
  <si>
    <t>Team Collaboration</t>
  </si>
  <si>
    <t>AlloFresh</t>
  </si>
  <si>
    <t>Site Reliability Engineer</t>
  </si>
  <si>
    <t>Bash Scripting, Kubernetes, ArgoCD &amp; GitOps, CI/CD Pipeline, Jenkins, Docker, AWS</t>
  </si>
  <si>
    <t>Continuous Improvement Mindset</t>
  </si>
  <si>
    <t>PT DAYA CIPTA MANDIRI SOLUSI</t>
  </si>
  <si>
    <t>Dev Ops Engineer</t>
  </si>
  <si>
    <t>Bash Scripting, Python, AWS, Microsoft Azure, Google Cloud Platform, Docker, Kubernetes</t>
  </si>
  <si>
    <t>Problem Solving, Communication Skills, Cross-Functional Collaboration, Adaptability to Change</t>
  </si>
  <si>
    <t>InfraOps Engineer (SDE 1)</t>
  </si>
  <si>
    <t>CI/CD Pipeline, AWS, Google Cloud Platform, GitHub Actions, Jenkins, Docker, Kubernetes</t>
  </si>
  <si>
    <t>Communication Skills, Cross-Functional Collaboration, Ownership Mindset, Attention to Detail, Proactive Initiative</t>
  </si>
  <si>
    <t>Ultra Voucher</t>
  </si>
  <si>
    <t>Jr. DevOps Engineer</t>
  </si>
  <si>
    <t>Docker, Kubernetes, CI/CD Pipeline, GitLab CI, GitHub Actions, Jenkins, AWS</t>
  </si>
  <si>
    <t>Proactive Initiative, Working Under Pressure, Team Leadership</t>
  </si>
  <si>
    <t>Hire Feed</t>
  </si>
  <si>
    <t>DevOps Engineer (Infrastructure)</t>
  </si>
  <si>
    <t>CI/CD Pipeline, Jenkins, GitLab CI, GitHub Actions, Terraform, Ansible, AWS</t>
  </si>
  <si>
    <t>Cross-Functional Collaboration</t>
  </si>
  <si>
    <t>BTPN Syariah</t>
  </si>
  <si>
    <t>Infrastructure as Code, CI/CD Pipeline, Docker, Kubernetes, Terraform, Ansible, AWS</t>
  </si>
  <si>
    <t>PT. Adi Data Informatika</t>
  </si>
  <si>
    <t>Linux Administration, CI/CD Pipeline, Jenkins, GitLab CI, Prometheus &amp; Grafana, Docker, AWS</t>
  </si>
  <si>
    <t>Communication Skills, Cross-Functional Collaboration</t>
  </si>
  <si>
    <t>PT Abadi Sejahtera Finansindo (Singa Fintech)</t>
  </si>
  <si>
    <t>CI/CD Pipeline, AWS, Google Cloud Platform, Terraform, Kubernetes, Docker, Prometheus &amp; Grafana</t>
  </si>
  <si>
    <t>Communication Skills, Working Under Pressure</t>
  </si>
  <si>
    <t>Unictive</t>
  </si>
  <si>
    <t>Backend DevOps</t>
  </si>
  <si>
    <t>Linux Administration, Docker, Kubernetes, CI/CD Pipeline, GitHub Actions, GitLab CI, Jenkins</t>
  </si>
  <si>
    <t>Problem Solving</t>
  </si>
  <si>
    <t>Hubexo</t>
  </si>
  <si>
    <t>Devops and Cloud Engineer</t>
  </si>
  <si>
    <t>CI/CD Pipeline, Infrastructure as Code, Terraform, Ansible, Microsoft Azure, AWS, Bash Scripting</t>
  </si>
  <si>
    <t>Solve Education!</t>
  </si>
  <si>
    <t>Dev Ops / Cloud Engineer</t>
  </si>
  <si>
    <t>AWS, Google Cloud Platform, Infrastructure as Code, CI/CD Pipeline, Terraform, GitLab CI, Python</t>
  </si>
  <si>
    <t>Ownership Mindset, Independent Work, Working Under Pressure, Adaptability to Change, Creative Thinking</t>
  </si>
  <si>
    <t>DVI Solutions Asia</t>
  </si>
  <si>
    <t>DevSecOps Engineer</t>
  </si>
  <si>
    <t>Microsoft Azure, CI/CD Pipeline, Terraform, Infrastructure as Code, Prometheus &amp; Grafana, Cloud Security &amp; IAM, Git</t>
  </si>
  <si>
    <t>Cross-Functional Collaboration, Learning Agility, Proactive Initiative, Time Management</t>
  </si>
  <si>
    <t>Quik Hire Staffing</t>
  </si>
  <si>
    <t>Cloud Engineer (Hybrid)</t>
  </si>
  <si>
    <t>CI/CD Pipeline, Jenkins, GitLab CI, Terraform, Ansible, Docker, Kubernetes</t>
  </si>
  <si>
    <t>-</t>
  </si>
  <si>
    <t>Acclime</t>
  </si>
  <si>
    <t>Group Infra &amp; DevSecOps Engineer - ID26013</t>
  </si>
  <si>
    <t>Google Cloud Platform, Microsoft Azure, CI/CD Pipeline, Test Automation Framework, AWS, Infrastructure as Code, Terraform</t>
  </si>
  <si>
    <t>Problem Solving, Communication Skills, Cross-Functional Collaboration, Learning Agility, Proactive Initiative</t>
  </si>
  <si>
    <t>PT Nojorono Tobacco International</t>
  </si>
  <si>
    <t>Bash Scripting, Python, CI/CD Pipeline, Jenkins, GitLab CI, Docker, Kubernetes</t>
  </si>
  <si>
    <t>PT Chandra Asri Pacific Tbk</t>
  </si>
  <si>
    <t>DevOps &amp; AI Analyst (Talent Pool)</t>
  </si>
  <si>
    <t>CI/CD Pipeline, Microsoft Azure, GitHub Actions, Infrastructure as Code, Process Automation, Git, Cloud Security &amp; IAM</t>
  </si>
  <si>
    <t>Communication Skills, Proactive Initiative, Adaptability to Change, Team Leadership</t>
  </si>
  <si>
    <t>SCG</t>
  </si>
  <si>
    <t>Cloud Engineer – SCG Indonesia</t>
  </si>
  <si>
    <t>AWS, Microsoft Azure, Google Cloud Platform, Docker, Bash Scripting, Virtualization, Cloud Cost Optimization</t>
  </si>
  <si>
    <t>Team Leadership</t>
  </si>
  <si>
    <t>TechConnect</t>
  </si>
  <si>
    <t>DevOps Engineer (Contract Basis)</t>
  </si>
  <si>
    <t>AWS, Google Cloud Platform, Microsoft Azure, CI/CD Pipeline, Test Automation Framework, Infrastructure as Code, Terraform</t>
  </si>
  <si>
    <t>Problem Solving, Communication Skills, Cross-Functional Collaboration, Learning Agility, Attention to Detail</t>
  </si>
  <si>
    <t>Kulu</t>
  </si>
  <si>
    <t>Infra Engineer (AI Agents) | IDR 30-45m p/m</t>
  </si>
  <si>
    <t>Python, AWS, Google Cloud Platform, CI/CD Pipeline, Infrastructure as Code, Terraform, Prometheus &amp; Grafana</t>
  </si>
  <si>
    <t>Ownership Mindset, Working Under Pressure, Integrity &amp; Discipline</t>
  </si>
  <si>
    <t>kloia</t>
  </si>
  <si>
    <t>Cloud&amp;DevOps Consultant</t>
  </si>
  <si>
    <t>AWS, Microsoft Azure, Google Cloud Platform, Infrastructure as Code, CI/CD Pipeline, Test Automation Framework, Ansible</t>
  </si>
  <si>
    <t>Problem Solving, Communication Skills, Learning Agility, Adaptability to Change, Stakeholder Management</t>
  </si>
  <si>
    <t>Tirto.ID</t>
  </si>
  <si>
    <t>System Engineer</t>
  </si>
  <si>
    <t>Docker, CI/CD Pipeline, Linux Administration, Kubernetes, Jenkins, Prometheus &amp; Grafana, Infrastructure as Code</t>
  </si>
  <si>
    <t>PT GDC Multi Sarana</t>
  </si>
  <si>
    <t>Mid-Level DevOps Engineer</t>
  </si>
  <si>
    <t>Kubernetes, CI/CD Pipeline, Linux Administration, Terraform, Ansible, Infrastructure as Code, ArgoCD &amp; GitOps</t>
  </si>
  <si>
    <t>Cross-Functional Collaboration, Independent Work</t>
  </si>
  <si>
    <t>Vodjo</t>
  </si>
  <si>
    <t>Bash Scripting, Linux Administration, AWS, CI/CD Pipeline, Docker, Kubernetes, Cloud Security &amp; IAM</t>
  </si>
  <si>
    <t>Communication Skills, Attention to Detail, Team Collaboration</t>
  </si>
  <si>
    <t>Referensiin_Aja</t>
  </si>
  <si>
    <t>Site Reliability Engineer (SRE)</t>
  </si>
  <si>
    <t>AWS, Google Cloud Platform, Docker, Kubernetes, Terraform, Linux Administration, CI/CD Pipeline</t>
  </si>
  <si>
    <t>Problem Solving, Analytical Thinking, Working Under Pressure, Stakeholder Management</t>
  </si>
  <si>
    <t>SIGMATECH</t>
  </si>
  <si>
    <t>DevOps Engineer (L2)</t>
  </si>
  <si>
    <t>Kubernetes, AWS, Microsoft Azure, Google Cloud Platform, Docker, CI/CD Pipeline, Jenkins</t>
  </si>
  <si>
    <t>Working Under Pressure</t>
  </si>
  <si>
    <t>Avows Global IT Technologies Private Limited</t>
  </si>
  <si>
    <t>Platform Engineer</t>
  </si>
  <si>
    <t>CI/CD Pipeline, Infrastructure as Code, Terraform, Ansible, Docker, Kubernetes, AWS</t>
  </si>
  <si>
    <t>Viasat</t>
  </si>
  <si>
    <t>Site Reliability Engineer - Service Assurance Systems</t>
  </si>
  <si>
    <t>Google Cloud Platform, Prometheus &amp; Grafana, AWS, CI/CD Pipeline, Infrastructure as Code, Docker, Python</t>
  </si>
  <si>
    <t>Communication Skills, Cross-Functional Collaboration, Learning Agility, Attention to Detail, Proactive Initiative</t>
  </si>
  <si>
    <t>Cermati Fintech Group</t>
  </si>
  <si>
    <t>Software Engineer In Test Automation Testing (junior- senior level)</t>
  </si>
  <si>
    <t>Test Automation Framework, Selenium, Appium, Python, CI/CD Pipeline, Jenkins, GitHub Actions</t>
  </si>
  <si>
    <t>Cross-Functional Collaboration, Ownership Mindset</t>
  </si>
  <si>
    <t>Site Reliability Engineer - LInE (Remote)</t>
  </si>
  <si>
    <t>Bash Scripting, Infrastructure as Code, Linux Administration, AWS, Google Cloud Platform, Microsoft Azure, Docker</t>
  </si>
  <si>
    <t>ParagonCorp</t>
  </si>
  <si>
    <t>Cloud Engineer</t>
  </si>
  <si>
    <t>AWS, Google Cloud Platform, Infrastructure as Code, Kubernetes, CI/CD Pipeline, Microsoft Azure, Terraform</t>
  </si>
  <si>
    <t>Cross-Functional Collaboration, Proactive Initiative, Team Leadership</t>
  </si>
  <si>
    <t>24Slides</t>
  </si>
  <si>
    <t>QA Automation (Software Development Engineer in Test)</t>
  </si>
  <si>
    <t>Test Automation Framework, API Testing, CI/CD Pipeline, Playwright &amp; Cypress, Python, Bash Scripting, Postman</t>
  </si>
  <si>
    <t>Problem Solving, Analytical Thinking, Communication Skills, Cross-Functional Collaboration, Ownership Mindset</t>
  </si>
  <si>
    <t>LG Sinar Mas (LGSM)</t>
  </si>
  <si>
    <t>Cloud Engineer (L1/ L2/ L4)</t>
  </si>
  <si>
    <t>Docker, Google Cloud Platform, AWS, Microsoft Azure, Bash Scripting, Terraform, Python</t>
  </si>
  <si>
    <t>Cross-Functional Collaboration, Learning Agility, Stakeholder Management, Continuous Improvement Mindset</t>
  </si>
  <si>
    <t>AVOWS CONSULTING LIMITED</t>
  </si>
  <si>
    <t>Docker, Kubernetes, Infrastructure as Code, Terraform, Ansible, AWS, Google Cloud Platform</t>
  </si>
  <si>
    <t>Thales</t>
  </si>
  <si>
    <t>Cloud Engineer (IMS)</t>
  </si>
  <si>
    <t>Google Cloud Platform, Docker, Prometheus &amp; Grafana, Infrastructure as Code, Kubernetes, ArgoCD &amp; GitOps, Linux Administration</t>
  </si>
  <si>
    <t>Problem Solving, Analytical Thinking, Proactive Initiative, Stakeholder Management, Continuous Improvement Mindset</t>
  </si>
  <si>
    <t>VELZI.AI LIMITED</t>
  </si>
  <si>
    <t>Google Cloud Platform, Microsoft Azure, AWS, Docker, Kubernetes, CI/CD Pipeline, GitHub Actions</t>
  </si>
  <si>
    <t>Cross-Functional Collaboration, Ownership Mindset, Team Collaboration, Proactive Initiative, Adaptability to Change</t>
  </si>
  <si>
    <t>DKATALIS</t>
  </si>
  <si>
    <t>DevSecOps</t>
  </si>
  <si>
    <t>CI/CD Pipeline, AWS, Microsoft Azure, Google Cloud Platform, Ansible, Docker, Kubernetes</t>
  </si>
  <si>
    <t>Cross-Functional Collaboration, Learning Agility, Proactive Initiative, Team Leadership, Integrity &amp; Discipline</t>
  </si>
  <si>
    <t>Integrasia Innovation Center (Innocent)</t>
  </si>
  <si>
    <t>Infrastructure &amp; DevOps Engineer</t>
  </si>
  <si>
    <t>Linux Administration, Docker, CI/CD Pipeline, GitLab CI, Windows Server, Virtualization, Git</t>
  </si>
  <si>
    <t>Skill</t>
  </si>
  <si>
    <t>Jumlah Lowongan</t>
  </si>
  <si>
    <t>% dari Lowongan</t>
  </si>
  <si>
    <t>CI/CD Pipeline</t>
  </si>
  <si>
    <t>AWS</t>
  </si>
  <si>
    <t>Docker</t>
  </si>
  <si>
    <t>Kubernetes</t>
  </si>
  <si>
    <t>Google Cloud Platform</t>
  </si>
  <si>
    <t>Infrastructure as Code</t>
  </si>
  <si>
    <t>Terraform</t>
  </si>
  <si>
    <t>Microsoft Azure</t>
  </si>
  <si>
    <t>Jenkins</t>
  </si>
  <si>
    <t>Linux Administration</t>
  </si>
  <si>
    <t>Bash Scripting</t>
  </si>
  <si>
    <t>Ansible</t>
  </si>
  <si>
    <t>Python</t>
  </si>
  <si>
    <t>GitHub Actions</t>
  </si>
  <si>
    <t>GitLab CI</t>
  </si>
  <si>
    <t>Prometheus &amp; Grafana</t>
  </si>
  <si>
    <t>ArgoCD &amp; GitOps</t>
  </si>
  <si>
    <t>Test Automation Framework</t>
  </si>
  <si>
    <t>Cloud Security &amp; IAM</t>
  </si>
  <si>
    <t>Git</t>
  </si>
  <si>
    <t>Virtualization</t>
  </si>
  <si>
    <t>API Testing</t>
  </si>
  <si>
    <t>Appium</t>
  </si>
  <si>
    <t>Cloud Cost Optimization</t>
  </si>
  <si>
    <t>Playwright &amp; Cypress</t>
  </si>
  <si>
    <t>Postman</t>
  </si>
  <si>
    <t>Process Automation</t>
  </si>
  <si>
    <t>Selenium</t>
  </si>
  <si>
    <t>Windows Server</t>
  </si>
  <si>
    <t>Communication Skills</t>
  </si>
  <si>
    <t>Proactive Initiative</t>
  </si>
  <si>
    <t>Ownership Mindset</t>
  </si>
  <si>
    <t>Learning Agility</t>
  </si>
  <si>
    <t>Adaptability to Change</t>
  </si>
  <si>
    <t>Attention to Detail</t>
  </si>
  <si>
    <t>Stakeholder Management</t>
  </si>
  <si>
    <t>Analytical Thinking</t>
  </si>
  <si>
    <t>Independent Work</t>
  </si>
  <si>
    <t>Creative Thinking</t>
  </si>
  <si>
    <t>Integrity &amp; Discipline</t>
  </si>
  <si>
    <t>Time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</si>
</sst>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zoomScaleNormal="100" workbookViewId="0">
      <pane ySplit="1" topLeftCell="A2" activePane="bottomLeft" state="frozen"/>
      <selection pane="bottomLeft" activeCell="B14" sqref="B14"/>
    </sheetView>
  </sheetViews>
  <sheetFormatPr defaultColWidth="8.7109375" defaultRowHeight="15" x14ac:dyDescent="0.25"/>
  <cols>
    <col min="1" max="1" width="6" customWidth="1"/>
    <col min="2" max="2" width="32" customWidth="1"/>
    <col min="3" max="3" width="42" customWidth="1"/>
    <col min="4" max="4" width="70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5.5" x14ac:dyDescent="0.25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25.5" x14ac:dyDescent="0.25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25.5" x14ac:dyDescent="0.25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25.5" x14ac:dyDescent="0.25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25.5" x14ac:dyDescent="0.25">
      <c r="A7" s="2">
        <v>6</v>
      </c>
      <c r="B7" s="3" t="s">
        <v>25</v>
      </c>
      <c r="C7" s="3" t="s">
        <v>26</v>
      </c>
      <c r="D7" s="3" t="s">
        <v>27</v>
      </c>
      <c r="E7" s="3" t="s">
        <v>28</v>
      </c>
    </row>
    <row r="8" spans="1:5" ht="25.5" x14ac:dyDescent="0.25">
      <c r="A8" s="2">
        <v>7</v>
      </c>
      <c r="B8" s="3" t="s">
        <v>29</v>
      </c>
      <c r="C8" s="3" t="s">
        <v>30</v>
      </c>
      <c r="D8" s="3" t="s">
        <v>31</v>
      </c>
      <c r="E8" s="3" t="s">
        <v>32</v>
      </c>
    </row>
    <row r="9" spans="1:5" ht="25.5" x14ac:dyDescent="0.25">
      <c r="A9" s="2">
        <v>8</v>
      </c>
      <c r="B9" s="3" t="s">
        <v>33</v>
      </c>
      <c r="C9" s="3" t="s">
        <v>34</v>
      </c>
      <c r="D9" s="3" t="s">
        <v>35</v>
      </c>
      <c r="E9" s="3" t="s">
        <v>36</v>
      </c>
    </row>
    <row r="10" spans="1:5" ht="25.5" x14ac:dyDescent="0.25">
      <c r="A10" s="2">
        <v>9</v>
      </c>
      <c r="B10" s="3" t="s">
        <v>21</v>
      </c>
      <c r="C10" s="3" t="s">
        <v>37</v>
      </c>
      <c r="D10" s="3" t="s">
        <v>38</v>
      </c>
      <c r="E10" s="3" t="s">
        <v>39</v>
      </c>
    </row>
    <row r="11" spans="1:5" x14ac:dyDescent="0.25">
      <c r="A11" s="2">
        <v>10</v>
      </c>
      <c r="B11" s="3" t="s">
        <v>40</v>
      </c>
      <c r="C11" s="3" t="s">
        <v>41</v>
      </c>
      <c r="D11" s="3" t="s">
        <v>42</v>
      </c>
      <c r="E11" s="3" t="s">
        <v>43</v>
      </c>
    </row>
    <row r="12" spans="1:5" x14ac:dyDescent="0.25">
      <c r="A12" s="2">
        <v>11</v>
      </c>
      <c r="B12" s="3" t="s">
        <v>44</v>
      </c>
      <c r="C12" s="3" t="s">
        <v>45</v>
      </c>
      <c r="D12" s="3" t="s">
        <v>46</v>
      </c>
      <c r="E12" s="3" t="s">
        <v>47</v>
      </c>
    </row>
    <row r="13" spans="1:5" ht="25.5" x14ac:dyDescent="0.25">
      <c r="A13" s="2">
        <v>12</v>
      </c>
      <c r="B13" s="3" t="s">
        <v>48</v>
      </c>
      <c r="C13" s="3" t="s">
        <v>18</v>
      </c>
      <c r="D13" s="3" t="s">
        <v>49</v>
      </c>
      <c r="E13" s="3" t="s">
        <v>47</v>
      </c>
    </row>
    <row r="14" spans="1:5" ht="25.5" x14ac:dyDescent="0.25">
      <c r="A14" s="2">
        <v>13</v>
      </c>
      <c r="B14" s="3" t="s">
        <v>50</v>
      </c>
      <c r="C14" s="3" t="s">
        <v>18</v>
      </c>
      <c r="D14" s="3" t="s">
        <v>51</v>
      </c>
      <c r="E14" s="3" t="s">
        <v>52</v>
      </c>
    </row>
    <row r="15" spans="1:5" ht="25.5" x14ac:dyDescent="0.25">
      <c r="A15" s="2">
        <v>14</v>
      </c>
      <c r="B15" s="3" t="s">
        <v>53</v>
      </c>
      <c r="C15" s="3" t="s">
        <v>18</v>
      </c>
      <c r="D15" s="3" t="s">
        <v>54</v>
      </c>
      <c r="E15" s="3" t="s">
        <v>55</v>
      </c>
    </row>
    <row r="16" spans="1:5" ht="25.5" x14ac:dyDescent="0.25">
      <c r="A16" s="2">
        <v>15</v>
      </c>
      <c r="B16" s="3" t="s">
        <v>56</v>
      </c>
      <c r="C16" s="3" t="s">
        <v>57</v>
      </c>
      <c r="D16" s="3" t="s">
        <v>58</v>
      </c>
      <c r="E16" s="3" t="s">
        <v>59</v>
      </c>
    </row>
    <row r="17" spans="1:5" ht="25.5" x14ac:dyDescent="0.25">
      <c r="A17" s="2">
        <v>16</v>
      </c>
      <c r="B17" s="3" t="s">
        <v>60</v>
      </c>
      <c r="C17" s="3" t="s">
        <v>61</v>
      </c>
      <c r="D17" s="3" t="s">
        <v>62</v>
      </c>
      <c r="E17" s="3" t="s">
        <v>24</v>
      </c>
    </row>
    <row r="18" spans="1:5" ht="25.5" x14ac:dyDescent="0.25">
      <c r="A18" s="2">
        <v>17</v>
      </c>
      <c r="B18" s="3" t="s">
        <v>63</v>
      </c>
      <c r="C18" s="3" t="s">
        <v>64</v>
      </c>
      <c r="D18" s="3" t="s">
        <v>65</v>
      </c>
      <c r="E18" s="3" t="s">
        <v>66</v>
      </c>
    </row>
    <row r="19" spans="1:5" ht="25.5" x14ac:dyDescent="0.25">
      <c r="A19" s="2">
        <v>18</v>
      </c>
      <c r="B19" s="3" t="s">
        <v>67</v>
      </c>
      <c r="C19" s="3" t="s">
        <v>68</v>
      </c>
      <c r="D19" s="3" t="s">
        <v>69</v>
      </c>
      <c r="E19" s="3" t="s">
        <v>70</v>
      </c>
    </row>
    <row r="20" spans="1:5" x14ac:dyDescent="0.25">
      <c r="A20" s="2">
        <v>19</v>
      </c>
      <c r="B20" s="3" t="s">
        <v>71</v>
      </c>
      <c r="C20" s="3" t="s">
        <v>72</v>
      </c>
      <c r="D20" s="3" t="s">
        <v>73</v>
      </c>
      <c r="E20" s="3" t="s">
        <v>74</v>
      </c>
    </row>
    <row r="21" spans="1:5" ht="25.5" x14ac:dyDescent="0.25">
      <c r="A21" s="2">
        <v>20</v>
      </c>
      <c r="B21" s="3" t="s">
        <v>75</v>
      </c>
      <c r="C21" s="3" t="s">
        <v>76</v>
      </c>
      <c r="D21" s="3" t="s">
        <v>77</v>
      </c>
      <c r="E21" s="3" t="s">
        <v>78</v>
      </c>
    </row>
    <row r="22" spans="1:5" x14ac:dyDescent="0.25">
      <c r="A22" s="2">
        <v>21</v>
      </c>
      <c r="B22" s="3" t="s">
        <v>79</v>
      </c>
      <c r="C22" s="3" t="s">
        <v>30</v>
      </c>
      <c r="D22" s="3" t="s">
        <v>80</v>
      </c>
      <c r="E22" s="3" t="s">
        <v>74</v>
      </c>
    </row>
    <row r="23" spans="1:5" ht="25.5" x14ac:dyDescent="0.25">
      <c r="A23" s="2">
        <v>22</v>
      </c>
      <c r="B23" s="3" t="s">
        <v>81</v>
      </c>
      <c r="C23" s="3" t="s">
        <v>82</v>
      </c>
      <c r="D23" s="3" t="s">
        <v>83</v>
      </c>
      <c r="E23" s="3" t="s">
        <v>84</v>
      </c>
    </row>
    <row r="24" spans="1:5" ht="25.5" x14ac:dyDescent="0.25">
      <c r="A24" s="2">
        <v>23</v>
      </c>
      <c r="B24" s="3" t="s">
        <v>85</v>
      </c>
      <c r="C24" s="3" t="s">
        <v>86</v>
      </c>
      <c r="D24" s="3" t="s">
        <v>87</v>
      </c>
      <c r="E24" s="3" t="s">
        <v>88</v>
      </c>
    </row>
    <row r="25" spans="1:5" ht="25.5" x14ac:dyDescent="0.25">
      <c r="A25" s="2">
        <v>24</v>
      </c>
      <c r="B25" s="3" t="s">
        <v>89</v>
      </c>
      <c r="C25" s="3" t="s">
        <v>90</v>
      </c>
      <c r="D25" s="3" t="s">
        <v>91</v>
      </c>
      <c r="E25" s="3" t="s">
        <v>92</v>
      </c>
    </row>
    <row r="26" spans="1:5" ht="25.5" x14ac:dyDescent="0.25">
      <c r="A26" s="2">
        <v>25</v>
      </c>
      <c r="B26" s="3" t="s">
        <v>93</v>
      </c>
      <c r="C26" s="3" t="s">
        <v>94</v>
      </c>
      <c r="D26" s="3" t="s">
        <v>95</v>
      </c>
      <c r="E26" s="3" t="s">
        <v>96</v>
      </c>
    </row>
    <row r="27" spans="1:5" ht="25.5" x14ac:dyDescent="0.25">
      <c r="A27" s="2">
        <v>26</v>
      </c>
      <c r="B27" s="3" t="s">
        <v>97</v>
      </c>
      <c r="C27" s="3" t="s">
        <v>98</v>
      </c>
      <c r="D27" s="3" t="s">
        <v>99</v>
      </c>
      <c r="E27" s="3" t="s">
        <v>100</v>
      </c>
    </row>
    <row r="28" spans="1:5" ht="25.5" x14ac:dyDescent="0.25">
      <c r="A28" s="2">
        <v>27</v>
      </c>
      <c r="B28" s="3" t="s">
        <v>101</v>
      </c>
      <c r="C28" s="3" t="s">
        <v>102</v>
      </c>
      <c r="D28" s="3" t="s">
        <v>103</v>
      </c>
      <c r="E28" s="3" t="s">
        <v>74</v>
      </c>
    </row>
    <row r="29" spans="1:5" ht="25.5" x14ac:dyDescent="0.25">
      <c r="A29" s="2">
        <v>28</v>
      </c>
      <c r="B29" s="3" t="s">
        <v>104</v>
      </c>
      <c r="C29" s="3" t="s">
        <v>105</v>
      </c>
      <c r="D29" s="3" t="s">
        <v>106</v>
      </c>
      <c r="E29" s="3" t="s">
        <v>107</v>
      </c>
    </row>
    <row r="30" spans="1:5" ht="25.5" x14ac:dyDescent="0.25">
      <c r="A30" s="2">
        <v>29</v>
      </c>
      <c r="B30" s="3" t="s">
        <v>108</v>
      </c>
      <c r="C30" s="3" t="s">
        <v>18</v>
      </c>
      <c r="D30" s="3" t="s">
        <v>109</v>
      </c>
      <c r="E30" s="3" t="s">
        <v>110</v>
      </c>
    </row>
    <row r="31" spans="1:5" ht="25.5" x14ac:dyDescent="0.25">
      <c r="A31" s="2">
        <v>30</v>
      </c>
      <c r="B31" s="3" t="s">
        <v>111</v>
      </c>
      <c r="C31" s="3" t="s">
        <v>112</v>
      </c>
      <c r="D31" s="3" t="s">
        <v>113</v>
      </c>
      <c r="E31" s="3" t="s">
        <v>114</v>
      </c>
    </row>
    <row r="32" spans="1:5" ht="25.5" x14ac:dyDescent="0.25">
      <c r="A32" s="2">
        <v>31</v>
      </c>
      <c r="B32" s="3" t="s">
        <v>115</v>
      </c>
      <c r="C32" s="3" t="s">
        <v>116</v>
      </c>
      <c r="D32" s="3" t="s">
        <v>117</v>
      </c>
      <c r="E32" s="3" t="s">
        <v>118</v>
      </c>
    </row>
    <row r="33" spans="1:5" ht="25.5" x14ac:dyDescent="0.25">
      <c r="A33" s="2">
        <v>32</v>
      </c>
      <c r="B33" s="3" t="s">
        <v>119</v>
      </c>
      <c r="C33" s="3" t="s">
        <v>120</v>
      </c>
      <c r="D33" s="3" t="s">
        <v>121</v>
      </c>
      <c r="E33" s="3" t="s">
        <v>74</v>
      </c>
    </row>
    <row r="34" spans="1:5" ht="25.5" x14ac:dyDescent="0.25">
      <c r="A34" s="2">
        <v>33</v>
      </c>
      <c r="B34" s="3" t="s">
        <v>122</v>
      </c>
      <c r="C34" s="3" t="s">
        <v>123</v>
      </c>
      <c r="D34" s="3" t="s">
        <v>124</v>
      </c>
      <c r="E34" s="3" t="s">
        <v>125</v>
      </c>
    </row>
    <row r="35" spans="1:5" ht="25.5" x14ac:dyDescent="0.25">
      <c r="A35" s="2">
        <v>34</v>
      </c>
      <c r="B35" s="3" t="s">
        <v>126</v>
      </c>
      <c r="C35" s="3" t="s">
        <v>127</v>
      </c>
      <c r="D35" s="3" t="s">
        <v>128</v>
      </c>
      <c r="E35" s="3" t="s">
        <v>129</v>
      </c>
    </row>
    <row r="36" spans="1:5" ht="25.5" x14ac:dyDescent="0.25">
      <c r="A36" s="2">
        <v>35</v>
      </c>
      <c r="B36" s="3" t="s">
        <v>71</v>
      </c>
      <c r="C36" s="3" t="s">
        <v>130</v>
      </c>
      <c r="D36" s="3" t="s">
        <v>131</v>
      </c>
      <c r="E36" s="3" t="s">
        <v>47</v>
      </c>
    </row>
    <row r="37" spans="1:5" ht="25.5" x14ac:dyDescent="0.25">
      <c r="A37" s="2">
        <v>36</v>
      </c>
      <c r="B37" s="3" t="s">
        <v>132</v>
      </c>
      <c r="C37" s="3" t="s">
        <v>133</v>
      </c>
      <c r="D37" s="3" t="s">
        <v>134</v>
      </c>
      <c r="E37" s="3" t="s">
        <v>135</v>
      </c>
    </row>
    <row r="38" spans="1:5" ht="25.5" x14ac:dyDescent="0.25">
      <c r="A38" s="2">
        <v>37</v>
      </c>
      <c r="B38" s="3" t="s">
        <v>136</v>
      </c>
      <c r="C38" s="3" t="s">
        <v>137</v>
      </c>
      <c r="D38" s="3" t="s">
        <v>138</v>
      </c>
      <c r="E38" s="3" t="s">
        <v>139</v>
      </c>
    </row>
    <row r="39" spans="1:5" ht="25.5" x14ac:dyDescent="0.25">
      <c r="A39" s="2">
        <v>38</v>
      </c>
      <c r="B39" s="3" t="s">
        <v>140</v>
      </c>
      <c r="C39" s="3" t="s">
        <v>141</v>
      </c>
      <c r="D39" s="3" t="s">
        <v>142</v>
      </c>
      <c r="E39" s="3" t="s">
        <v>143</v>
      </c>
    </row>
    <row r="40" spans="1:5" ht="25.5" x14ac:dyDescent="0.25">
      <c r="A40" s="2">
        <v>39</v>
      </c>
      <c r="B40" s="3" t="s">
        <v>144</v>
      </c>
      <c r="C40" s="3" t="s">
        <v>120</v>
      </c>
      <c r="D40" s="3" t="s">
        <v>145</v>
      </c>
      <c r="E40" s="3" t="s">
        <v>74</v>
      </c>
    </row>
    <row r="41" spans="1:5" ht="25.5" x14ac:dyDescent="0.25">
      <c r="A41" s="2">
        <v>40</v>
      </c>
      <c r="B41" s="3" t="s">
        <v>146</v>
      </c>
      <c r="C41" s="3" t="s">
        <v>147</v>
      </c>
      <c r="D41" s="3" t="s">
        <v>148</v>
      </c>
      <c r="E41" s="3" t="s">
        <v>149</v>
      </c>
    </row>
    <row r="42" spans="1:5" ht="25.5" x14ac:dyDescent="0.25">
      <c r="A42" s="2">
        <v>41</v>
      </c>
      <c r="B42" s="3" t="s">
        <v>150</v>
      </c>
      <c r="C42" s="3" t="s">
        <v>18</v>
      </c>
      <c r="D42" s="3" t="s">
        <v>151</v>
      </c>
      <c r="E42" s="3" t="s">
        <v>152</v>
      </c>
    </row>
    <row r="43" spans="1:5" ht="25.5" x14ac:dyDescent="0.25">
      <c r="A43" s="2">
        <v>42</v>
      </c>
      <c r="B43" s="3" t="s">
        <v>153</v>
      </c>
      <c r="C43" s="3" t="s">
        <v>154</v>
      </c>
      <c r="D43" s="3" t="s">
        <v>155</v>
      </c>
      <c r="E43" s="3" t="s">
        <v>156</v>
      </c>
    </row>
    <row r="44" spans="1:5" ht="25.5" x14ac:dyDescent="0.25">
      <c r="A44" s="2">
        <v>43</v>
      </c>
      <c r="B44" s="3" t="s">
        <v>157</v>
      </c>
      <c r="C44" s="3" t="s">
        <v>158</v>
      </c>
      <c r="D44" s="3" t="s">
        <v>159</v>
      </c>
      <c r="E44" s="3" t="s">
        <v>59</v>
      </c>
    </row>
  </sheetData>
  <autoFilter ref="A1:E44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zoomScaleNormal="100" workbookViewId="0">
      <pane ySplit="1" topLeftCell="A2" activePane="bottomLeft" state="frozen"/>
      <selection pane="bottomLeft" activeCell="D10" sqref="D10"/>
    </sheetView>
  </sheetViews>
  <sheetFormatPr defaultColWidth="8.7109375" defaultRowHeight="15" x14ac:dyDescent="0.25"/>
  <cols>
    <col min="1" max="1" width="6" customWidth="1"/>
    <col min="2" max="2" width="36" customWidth="1"/>
    <col min="3" max="4" width="18" customWidth="1"/>
  </cols>
  <sheetData>
    <row r="1" spans="1:4" ht="25.5" x14ac:dyDescent="0.25">
      <c r="A1" s="1" t="s">
        <v>0</v>
      </c>
      <c r="B1" s="1" t="s">
        <v>160</v>
      </c>
      <c r="C1" s="1" t="s">
        <v>161</v>
      </c>
      <c r="D1" s="1" t="s">
        <v>162</v>
      </c>
    </row>
    <row r="2" spans="1:4" x14ac:dyDescent="0.25">
      <c r="A2" s="4">
        <v>1</v>
      </c>
      <c r="B2" s="5" t="s">
        <v>163</v>
      </c>
      <c r="C2" s="4">
        <f>SUMPRODUCT(--ISNUMBER(SEARCH(", "&amp;$B2&amp;",",", "&amp;'Hasil Ekstraksi'!$D$2:$D$44&amp;",")))</f>
        <v>36</v>
      </c>
      <c r="D2" s="6">
        <f>C2/COUNTA('Hasil Ekstraksi'!$A$2:$A$44)</f>
        <v>0.83720930232558144</v>
      </c>
    </row>
    <row r="3" spans="1:4" x14ac:dyDescent="0.25">
      <c r="A3" s="4">
        <v>2</v>
      </c>
      <c r="B3" s="5" t="s">
        <v>164</v>
      </c>
      <c r="C3" s="4">
        <f>SUMPRODUCT(--ISNUMBER(SEARCH(", "&amp;$B3&amp;",",", "&amp;'Hasil Ekstraksi'!$D$2:$D$44&amp;",")))</f>
        <v>29</v>
      </c>
      <c r="D3" s="6">
        <f>C3/COUNTA('Hasil Ekstraksi'!$A$2:$A$44)</f>
        <v>0.67441860465116277</v>
      </c>
    </row>
    <row r="4" spans="1:4" x14ac:dyDescent="0.25">
      <c r="A4" s="4">
        <v>3</v>
      </c>
      <c r="B4" s="5" t="s">
        <v>165</v>
      </c>
      <c r="C4" s="4">
        <f>SUMPRODUCT(--ISNUMBER(SEARCH(", "&amp;$B4&amp;",",", "&amp;'Hasil Ekstraksi'!$D$2:$D$44&amp;",")))</f>
        <v>28</v>
      </c>
      <c r="D4" s="6">
        <f>C4/COUNTA('Hasil Ekstraksi'!$A$2:$A$44)</f>
        <v>0.65116279069767447</v>
      </c>
    </row>
    <row r="5" spans="1:4" x14ac:dyDescent="0.25">
      <c r="A5" s="4">
        <v>4</v>
      </c>
      <c r="B5" s="5" t="s">
        <v>166</v>
      </c>
      <c r="C5" s="4">
        <f>SUMPRODUCT(--ISNUMBER(SEARCH(", "&amp;$B5&amp;",",", "&amp;'Hasil Ekstraksi'!$D$2:$D$44&amp;",")))</f>
        <v>24</v>
      </c>
      <c r="D5" s="6">
        <f>C5/COUNTA('Hasil Ekstraksi'!$A$2:$A$44)</f>
        <v>0.55813953488372092</v>
      </c>
    </row>
    <row r="6" spans="1:4" x14ac:dyDescent="0.25">
      <c r="A6" s="4">
        <v>5</v>
      </c>
      <c r="B6" s="5" t="s">
        <v>167</v>
      </c>
      <c r="C6" s="4">
        <f>SUMPRODUCT(--ISNUMBER(SEARCH(", "&amp;$B6&amp;",",", "&amp;'Hasil Ekstraksi'!$D$2:$D$44&amp;",")))</f>
        <v>23</v>
      </c>
      <c r="D6" s="6">
        <f>C6/COUNTA('Hasil Ekstraksi'!$A$2:$A$44)</f>
        <v>0.53488372093023251</v>
      </c>
    </row>
    <row r="7" spans="1:4" x14ac:dyDescent="0.25">
      <c r="A7" s="4">
        <v>6</v>
      </c>
      <c r="B7" s="5" t="s">
        <v>168</v>
      </c>
      <c r="C7" s="4">
        <f>SUMPRODUCT(--ISNUMBER(SEARCH(", "&amp;$B7&amp;",",", "&amp;'Hasil Ekstraksi'!$D$2:$D$44&amp;",")))</f>
        <v>20</v>
      </c>
      <c r="D7" s="6">
        <f>C7/COUNTA('Hasil Ekstraksi'!$A$2:$A$44)</f>
        <v>0.46511627906976744</v>
      </c>
    </row>
    <row r="8" spans="1:4" x14ac:dyDescent="0.25">
      <c r="A8" s="4">
        <v>7</v>
      </c>
      <c r="B8" s="5" t="s">
        <v>169</v>
      </c>
      <c r="C8" s="4">
        <f>SUMPRODUCT(--ISNUMBER(SEARCH(", "&amp;$B8&amp;",",", "&amp;'Hasil Ekstraksi'!$D$2:$D$44&amp;",")))</f>
        <v>17</v>
      </c>
      <c r="D8" s="6">
        <f>C8/COUNTA('Hasil Ekstraksi'!$A$2:$A$44)</f>
        <v>0.39534883720930231</v>
      </c>
    </row>
    <row r="9" spans="1:4" x14ac:dyDescent="0.25">
      <c r="A9" s="4">
        <v>8</v>
      </c>
      <c r="B9" s="5" t="s">
        <v>170</v>
      </c>
      <c r="C9" s="4">
        <f>SUMPRODUCT(--ISNUMBER(SEARCH(", "&amp;$B9&amp;",",", "&amp;'Hasil Ekstraksi'!$D$2:$D$44&amp;",")))</f>
        <v>15</v>
      </c>
      <c r="D9" s="6">
        <f>C9/COUNTA('Hasil Ekstraksi'!$A$2:$A$44)</f>
        <v>0.34883720930232559</v>
      </c>
    </row>
    <row r="10" spans="1:4" x14ac:dyDescent="0.25">
      <c r="A10" s="4">
        <v>9</v>
      </c>
      <c r="B10" s="5" t="s">
        <v>171</v>
      </c>
      <c r="C10" s="4">
        <f>SUMPRODUCT(--ISNUMBER(SEARCH(", "&amp;$B10&amp;",",", "&amp;'Hasil Ekstraksi'!$D$2:$D$44&amp;",")))</f>
        <v>14</v>
      </c>
      <c r="D10" s="6">
        <f>C10/COUNTA('Hasil Ekstraksi'!$A$2:$A$44)</f>
        <v>0.32558139534883723</v>
      </c>
    </row>
    <row r="11" spans="1:4" x14ac:dyDescent="0.25">
      <c r="A11" s="4">
        <v>10</v>
      </c>
      <c r="B11" s="5" t="s">
        <v>172</v>
      </c>
      <c r="C11" s="4">
        <f>SUMPRODUCT(--ISNUMBER(SEARCH(", "&amp;$B11&amp;",",", "&amp;'Hasil Ekstraksi'!$D$2:$D$44&amp;",")))</f>
        <v>12</v>
      </c>
      <c r="D11" s="6">
        <f>C11/COUNTA('Hasil Ekstraksi'!$A$2:$A$44)</f>
        <v>0.27906976744186046</v>
      </c>
    </row>
    <row r="12" spans="1:4" x14ac:dyDescent="0.25">
      <c r="A12" s="4">
        <v>11</v>
      </c>
      <c r="B12" s="5" t="s">
        <v>173</v>
      </c>
      <c r="C12" s="4">
        <f>SUMPRODUCT(--ISNUMBER(SEARCH(", "&amp;$B12&amp;",",", "&amp;'Hasil Ekstraksi'!$D$2:$D$44&amp;",")))</f>
        <v>11</v>
      </c>
      <c r="D12" s="6">
        <f>C12/COUNTA('Hasil Ekstraksi'!$A$2:$A$44)</f>
        <v>0.2558139534883721</v>
      </c>
    </row>
    <row r="13" spans="1:4" x14ac:dyDescent="0.25">
      <c r="A13" s="4">
        <v>12</v>
      </c>
      <c r="B13" s="5" t="s">
        <v>174</v>
      </c>
      <c r="C13" s="4">
        <f>SUMPRODUCT(--ISNUMBER(SEARCH(", "&amp;$B13&amp;",",", "&amp;'Hasil Ekstraksi'!$D$2:$D$44&amp;",")))</f>
        <v>10</v>
      </c>
      <c r="D13" s="6">
        <f>C13/COUNTA('Hasil Ekstraksi'!$A$2:$A$44)</f>
        <v>0.23255813953488372</v>
      </c>
    </row>
    <row r="14" spans="1:4" x14ac:dyDescent="0.25">
      <c r="A14" s="4">
        <v>13</v>
      </c>
      <c r="B14" s="5" t="s">
        <v>175</v>
      </c>
      <c r="C14" s="4">
        <f>SUMPRODUCT(--ISNUMBER(SEARCH(", "&amp;$B14&amp;",",", "&amp;'Hasil Ekstraksi'!$D$2:$D$44&amp;",")))</f>
        <v>10</v>
      </c>
      <c r="D14" s="6">
        <f>C14/COUNTA('Hasil Ekstraksi'!$A$2:$A$44)</f>
        <v>0.23255813953488372</v>
      </c>
    </row>
    <row r="15" spans="1:4" x14ac:dyDescent="0.25">
      <c r="A15" s="4">
        <v>14</v>
      </c>
      <c r="B15" s="5" t="s">
        <v>176</v>
      </c>
      <c r="C15" s="4">
        <f>SUMPRODUCT(--ISNUMBER(SEARCH(", "&amp;$B15&amp;",",", "&amp;'Hasil Ekstraksi'!$D$2:$D$44&amp;",")))</f>
        <v>8</v>
      </c>
      <c r="D15" s="6">
        <f>C15/COUNTA('Hasil Ekstraksi'!$A$2:$A$44)</f>
        <v>0.18604651162790697</v>
      </c>
    </row>
    <row r="16" spans="1:4" x14ac:dyDescent="0.25">
      <c r="A16" s="4">
        <v>15</v>
      </c>
      <c r="B16" s="5" t="s">
        <v>177</v>
      </c>
      <c r="C16" s="4">
        <f>SUMPRODUCT(--ISNUMBER(SEARCH(", "&amp;$B16&amp;",",", "&amp;'Hasil Ekstraksi'!$D$2:$D$44&amp;",")))</f>
        <v>8</v>
      </c>
      <c r="D16" s="6">
        <f>C16/COUNTA('Hasil Ekstraksi'!$A$2:$A$44)</f>
        <v>0.18604651162790697</v>
      </c>
    </row>
    <row r="17" spans="1:4" x14ac:dyDescent="0.25">
      <c r="A17" s="4">
        <v>16</v>
      </c>
      <c r="B17" s="5" t="s">
        <v>178</v>
      </c>
      <c r="C17" s="4">
        <f>SUMPRODUCT(--ISNUMBER(SEARCH(", "&amp;$B17&amp;",",", "&amp;'Hasil Ekstraksi'!$D$2:$D$44&amp;",")))</f>
        <v>8</v>
      </c>
      <c r="D17" s="6">
        <f>C17/COUNTA('Hasil Ekstraksi'!$A$2:$A$44)</f>
        <v>0.18604651162790697</v>
      </c>
    </row>
    <row r="18" spans="1:4" x14ac:dyDescent="0.25">
      <c r="A18" s="4">
        <v>17</v>
      </c>
      <c r="B18" s="5" t="s">
        <v>179</v>
      </c>
      <c r="C18" s="4">
        <f>SUMPRODUCT(--ISNUMBER(SEARCH(", "&amp;$B18&amp;",",", "&amp;'Hasil Ekstraksi'!$D$2:$D$44&amp;",")))</f>
        <v>6</v>
      </c>
      <c r="D18" s="6">
        <f>C18/COUNTA('Hasil Ekstraksi'!$A$2:$A$44)</f>
        <v>0.13953488372093023</v>
      </c>
    </row>
    <row r="19" spans="1:4" x14ac:dyDescent="0.25">
      <c r="A19" s="4">
        <v>18</v>
      </c>
      <c r="B19" s="5" t="s">
        <v>180</v>
      </c>
      <c r="C19" s="4">
        <f>SUMPRODUCT(--ISNUMBER(SEARCH(", "&amp;$B19&amp;",",", "&amp;'Hasil Ekstraksi'!$D$2:$D$44&amp;",")))</f>
        <v>6</v>
      </c>
      <c r="D19" s="6">
        <f>C19/COUNTA('Hasil Ekstraksi'!$A$2:$A$44)</f>
        <v>0.13953488372093023</v>
      </c>
    </row>
    <row r="20" spans="1:4" x14ac:dyDescent="0.25">
      <c r="A20" s="4">
        <v>19</v>
      </c>
      <c r="B20" s="5" t="s">
        <v>181</v>
      </c>
      <c r="C20" s="4">
        <f>SUMPRODUCT(--ISNUMBER(SEARCH(", "&amp;$B20&amp;",",", "&amp;'Hasil Ekstraksi'!$D$2:$D$44&amp;",")))</f>
        <v>3</v>
      </c>
      <c r="D20" s="6">
        <f>C20/COUNTA('Hasil Ekstraksi'!$A$2:$A$44)</f>
        <v>6.9767441860465115E-2</v>
      </c>
    </row>
    <row r="21" spans="1:4" x14ac:dyDescent="0.25">
      <c r="A21" s="4">
        <v>20</v>
      </c>
      <c r="B21" s="5" t="s">
        <v>182</v>
      </c>
      <c r="C21" s="4">
        <f>SUMPRODUCT(--ISNUMBER(SEARCH(", "&amp;$B21&amp;",",", "&amp;'Hasil Ekstraksi'!$D$2:$D$44&amp;",")))</f>
        <v>3</v>
      </c>
      <c r="D21" s="6">
        <f>C21/COUNTA('Hasil Ekstraksi'!$A$2:$A$44)</f>
        <v>6.9767441860465115E-2</v>
      </c>
    </row>
    <row r="22" spans="1:4" x14ac:dyDescent="0.25">
      <c r="A22" s="4">
        <v>21</v>
      </c>
      <c r="B22" s="5" t="s">
        <v>183</v>
      </c>
      <c r="C22" s="4">
        <f>SUMPRODUCT(--ISNUMBER(SEARCH(", "&amp;$B22&amp;",",", "&amp;'Hasil Ekstraksi'!$D$2:$D$44&amp;",")))</f>
        <v>2</v>
      </c>
      <c r="D22" s="6">
        <f>C22/COUNTA('Hasil Ekstraksi'!$A$2:$A$44)</f>
        <v>4.6511627906976744E-2</v>
      </c>
    </row>
    <row r="23" spans="1:4" x14ac:dyDescent="0.25">
      <c r="A23" s="4">
        <v>22</v>
      </c>
      <c r="B23" s="5" t="s">
        <v>184</v>
      </c>
      <c r="C23" s="4">
        <f>SUMPRODUCT(--ISNUMBER(SEARCH(", "&amp;$B23&amp;",",", "&amp;'Hasil Ekstraksi'!$D$2:$D$44&amp;",")))</f>
        <v>1</v>
      </c>
      <c r="D23" s="6">
        <f>C23/COUNTA('Hasil Ekstraksi'!$A$2:$A$44)</f>
        <v>2.3255813953488372E-2</v>
      </c>
    </row>
    <row r="24" spans="1:4" x14ac:dyDescent="0.25">
      <c r="A24" s="4">
        <v>23</v>
      </c>
      <c r="B24" s="5" t="s">
        <v>185</v>
      </c>
      <c r="C24" s="4">
        <f>SUMPRODUCT(--ISNUMBER(SEARCH(", "&amp;$B24&amp;",",", "&amp;'Hasil Ekstraksi'!$D$2:$D$44&amp;",")))</f>
        <v>1</v>
      </c>
      <c r="D24" s="6">
        <f>C24/COUNTA('Hasil Ekstraksi'!$A$2:$A$44)</f>
        <v>2.3255813953488372E-2</v>
      </c>
    </row>
    <row r="25" spans="1:4" x14ac:dyDescent="0.25">
      <c r="A25" s="4">
        <v>24</v>
      </c>
      <c r="B25" s="5" t="s">
        <v>186</v>
      </c>
      <c r="C25" s="4">
        <f>SUMPRODUCT(--ISNUMBER(SEARCH(", "&amp;$B25&amp;",",", "&amp;'Hasil Ekstraksi'!$D$2:$D$44&amp;",")))</f>
        <v>1</v>
      </c>
      <c r="D25" s="6">
        <f>C25/COUNTA('Hasil Ekstraksi'!$A$2:$A$44)</f>
        <v>2.3255813953488372E-2</v>
      </c>
    </row>
    <row r="26" spans="1:4" x14ac:dyDescent="0.25">
      <c r="A26" s="4">
        <v>25</v>
      </c>
      <c r="B26" s="5" t="s">
        <v>187</v>
      </c>
      <c r="C26" s="4">
        <f>SUMPRODUCT(--ISNUMBER(SEARCH(", "&amp;$B26&amp;",",", "&amp;'Hasil Ekstraksi'!$D$2:$D$44&amp;",")))</f>
        <v>1</v>
      </c>
      <c r="D26" s="6">
        <f>C26/COUNTA('Hasil Ekstraksi'!$A$2:$A$44)</f>
        <v>2.3255813953488372E-2</v>
      </c>
    </row>
    <row r="27" spans="1:4" x14ac:dyDescent="0.25">
      <c r="A27" s="4">
        <v>26</v>
      </c>
      <c r="B27" s="5" t="s">
        <v>188</v>
      </c>
      <c r="C27" s="4">
        <f>SUMPRODUCT(--ISNUMBER(SEARCH(", "&amp;$B27&amp;",",", "&amp;'Hasil Ekstraksi'!$D$2:$D$44&amp;",")))</f>
        <v>1</v>
      </c>
      <c r="D27" s="6">
        <f>C27/COUNTA('Hasil Ekstraksi'!$A$2:$A$44)</f>
        <v>2.3255813953488372E-2</v>
      </c>
    </row>
    <row r="28" spans="1:4" x14ac:dyDescent="0.25">
      <c r="A28" s="4">
        <v>27</v>
      </c>
      <c r="B28" s="5" t="s">
        <v>189</v>
      </c>
      <c r="C28" s="4">
        <f>SUMPRODUCT(--ISNUMBER(SEARCH(", "&amp;$B28&amp;",",", "&amp;'Hasil Ekstraksi'!$D$2:$D$44&amp;",")))</f>
        <v>1</v>
      </c>
      <c r="D28" s="6">
        <f>C28/COUNTA('Hasil Ekstraksi'!$A$2:$A$44)</f>
        <v>2.3255813953488372E-2</v>
      </c>
    </row>
    <row r="29" spans="1:4" x14ac:dyDescent="0.25">
      <c r="A29" s="4">
        <v>28</v>
      </c>
      <c r="B29" s="5" t="s">
        <v>190</v>
      </c>
      <c r="C29" s="4">
        <f>SUMPRODUCT(--ISNUMBER(SEARCH(", "&amp;$B29&amp;",",", "&amp;'Hasil Ekstraksi'!$D$2:$D$44&amp;",")))</f>
        <v>1</v>
      </c>
      <c r="D29" s="6">
        <f>C29/COUNTA('Hasil Ekstraksi'!$A$2:$A$44)</f>
        <v>2.3255813953488372E-2</v>
      </c>
    </row>
    <row r="30" spans="1:4" x14ac:dyDescent="0.25">
      <c r="A30" s="4">
        <v>29</v>
      </c>
      <c r="B30" s="5" t="s">
        <v>191</v>
      </c>
      <c r="C30" s="4">
        <f>SUMPRODUCT(--ISNUMBER(SEARCH(", "&amp;$B30&amp;",",", "&amp;'Hasil Ekstraksi'!$D$2:$D$44&amp;",")))</f>
        <v>1</v>
      </c>
      <c r="D30" s="6">
        <f>C30/COUNTA('Hasil Ekstraksi'!$A$2:$A$44)</f>
        <v>2.3255813953488372E-2</v>
      </c>
    </row>
    <row r="32" spans="1:4" x14ac:dyDescent="0.25">
      <c r="A32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Normal="100" workbookViewId="0">
      <pane ySplit="1" topLeftCell="A2" activePane="bottomLeft" state="frozen"/>
      <selection pane="bottomLeft" activeCell="A21" sqref="A21"/>
    </sheetView>
  </sheetViews>
  <sheetFormatPr defaultColWidth="8.7109375" defaultRowHeight="15" x14ac:dyDescent="0.25"/>
  <cols>
    <col min="1" max="1" width="6" customWidth="1"/>
    <col min="2" max="2" width="36" customWidth="1"/>
    <col min="3" max="4" width="18" customWidth="1"/>
  </cols>
  <sheetData>
    <row r="1" spans="1:4" ht="25.5" x14ac:dyDescent="0.25">
      <c r="A1" s="1" t="s">
        <v>0</v>
      </c>
      <c r="B1" s="1" t="s">
        <v>160</v>
      </c>
      <c r="C1" s="1" t="s">
        <v>161</v>
      </c>
      <c r="D1" s="1" t="s">
        <v>162</v>
      </c>
    </row>
    <row r="2" spans="1:4" x14ac:dyDescent="0.25">
      <c r="A2" s="4">
        <v>1</v>
      </c>
      <c r="B2" s="5" t="s">
        <v>47</v>
      </c>
      <c r="C2" s="4">
        <f>SUMPRODUCT(--ISNUMBER(SEARCH(", "&amp;$B2&amp;",",", "&amp;'Hasil Ekstraksi'!$E$2:$E$44&amp;",")))</f>
        <v>20</v>
      </c>
      <c r="D2" s="6">
        <f>C2/COUNTA('Hasil Ekstraksi'!$A$2:$A$44)</f>
        <v>0.46511627906976744</v>
      </c>
    </row>
    <row r="3" spans="1:4" x14ac:dyDescent="0.25">
      <c r="A3" s="4">
        <v>2</v>
      </c>
      <c r="B3" s="5" t="s">
        <v>192</v>
      </c>
      <c r="C3" s="4">
        <f>SUMPRODUCT(--ISNUMBER(SEARCH(", "&amp;$B3&amp;",",", "&amp;'Hasil Ekstraksi'!$E$2:$E$44&amp;",")))</f>
        <v>14</v>
      </c>
      <c r="D3" s="6">
        <f>C3/COUNTA('Hasil Ekstraksi'!$A$2:$A$44)</f>
        <v>0.32558139534883723</v>
      </c>
    </row>
    <row r="4" spans="1:4" x14ac:dyDescent="0.25">
      <c r="A4" s="4">
        <v>3</v>
      </c>
      <c r="B4" s="5" t="s">
        <v>59</v>
      </c>
      <c r="C4" s="4">
        <f>SUMPRODUCT(--ISNUMBER(SEARCH(", "&amp;$B4&amp;",",", "&amp;'Hasil Ekstraksi'!$E$2:$E$44&amp;",")))</f>
        <v>14</v>
      </c>
      <c r="D4" s="6">
        <f>C4/COUNTA('Hasil Ekstraksi'!$A$2:$A$44)</f>
        <v>0.32558139534883723</v>
      </c>
    </row>
    <row r="5" spans="1:4" x14ac:dyDescent="0.25">
      <c r="A5" s="4">
        <v>4</v>
      </c>
      <c r="B5" s="5" t="s">
        <v>193</v>
      </c>
      <c r="C5" s="4">
        <f>SUMPRODUCT(--ISNUMBER(SEARCH(", "&amp;$B5&amp;",",", "&amp;'Hasil Ekstraksi'!$E$2:$E$44&amp;",")))</f>
        <v>12</v>
      </c>
      <c r="D5" s="6">
        <f>C5/COUNTA('Hasil Ekstraksi'!$A$2:$A$44)</f>
        <v>0.27906976744186046</v>
      </c>
    </row>
    <row r="6" spans="1:4" x14ac:dyDescent="0.25">
      <c r="A6" s="4">
        <v>5</v>
      </c>
      <c r="B6" s="5" t="s">
        <v>194</v>
      </c>
      <c r="C6" s="4">
        <f>SUMPRODUCT(--ISNUMBER(SEARCH(", "&amp;$B6&amp;",",", "&amp;'Hasil Ekstraksi'!$E$2:$E$44&amp;",")))</f>
        <v>9</v>
      </c>
      <c r="D6" s="6">
        <f>C6/COUNTA('Hasil Ekstraksi'!$A$2:$A$44)</f>
        <v>0.20930232558139536</v>
      </c>
    </row>
    <row r="7" spans="1:4" x14ac:dyDescent="0.25">
      <c r="A7" s="4">
        <v>6</v>
      </c>
      <c r="B7" s="5" t="s">
        <v>195</v>
      </c>
      <c r="C7" s="4">
        <f>SUMPRODUCT(--ISNUMBER(SEARCH(", "&amp;$B7&amp;",",", "&amp;'Hasil Ekstraksi'!$E$2:$E$44&amp;",")))</f>
        <v>8</v>
      </c>
      <c r="D7" s="6">
        <f>C7/COUNTA('Hasil Ekstraksi'!$A$2:$A$44)</f>
        <v>0.18604651162790697</v>
      </c>
    </row>
    <row r="8" spans="1:4" x14ac:dyDescent="0.25">
      <c r="A8" s="4">
        <v>7</v>
      </c>
      <c r="B8" s="5" t="s">
        <v>118</v>
      </c>
      <c r="C8" s="4">
        <f>SUMPRODUCT(--ISNUMBER(SEARCH(", "&amp;$B8&amp;",",", "&amp;'Hasil Ekstraksi'!$E$2:$E$44&amp;",")))</f>
        <v>7</v>
      </c>
      <c r="D8" s="6">
        <f>C8/COUNTA('Hasil Ekstraksi'!$A$2:$A$44)</f>
        <v>0.16279069767441862</v>
      </c>
    </row>
    <row r="9" spans="1:4" x14ac:dyDescent="0.25">
      <c r="A9" s="4">
        <v>8</v>
      </c>
      <c r="B9" s="5" t="s">
        <v>196</v>
      </c>
      <c r="C9" s="4">
        <f>SUMPRODUCT(--ISNUMBER(SEARCH(", "&amp;$B9&amp;",",", "&amp;'Hasil Ekstraksi'!$E$2:$E$44&amp;",")))</f>
        <v>6</v>
      </c>
      <c r="D9" s="6">
        <f>C9/COUNTA('Hasil Ekstraksi'!$A$2:$A$44)</f>
        <v>0.13953488372093023</v>
      </c>
    </row>
    <row r="10" spans="1:4" x14ac:dyDescent="0.25">
      <c r="A10" s="4">
        <v>9</v>
      </c>
      <c r="B10" s="5" t="s">
        <v>88</v>
      </c>
      <c r="C10" s="4">
        <f>SUMPRODUCT(--ISNUMBER(SEARCH(", "&amp;$B10&amp;",",", "&amp;'Hasil Ekstraksi'!$E$2:$E$44&amp;",")))</f>
        <v>5</v>
      </c>
      <c r="D10" s="6">
        <f>C10/COUNTA('Hasil Ekstraksi'!$A$2:$A$44)</f>
        <v>0.11627906976744186</v>
      </c>
    </row>
    <row r="11" spans="1:4" x14ac:dyDescent="0.25">
      <c r="A11" s="4">
        <v>10</v>
      </c>
      <c r="B11" s="5" t="s">
        <v>197</v>
      </c>
      <c r="C11" s="4">
        <f>SUMPRODUCT(--ISNUMBER(SEARCH(", "&amp;$B11&amp;",",", "&amp;'Hasil Ekstraksi'!$E$2:$E$44&amp;",")))</f>
        <v>4</v>
      </c>
      <c r="D11" s="6">
        <f>C11/COUNTA('Hasil Ekstraksi'!$A$2:$A$44)</f>
        <v>9.3023255813953487E-2</v>
      </c>
    </row>
    <row r="12" spans="1:4" x14ac:dyDescent="0.25">
      <c r="A12" s="4">
        <v>11</v>
      </c>
      <c r="B12" s="5" t="s">
        <v>32</v>
      </c>
      <c r="C12" s="4">
        <f>SUMPRODUCT(--ISNUMBER(SEARCH(", "&amp;$B12&amp;",",", "&amp;'Hasil Ekstraksi'!$E$2:$E$44&amp;",")))</f>
        <v>4</v>
      </c>
      <c r="D12" s="6">
        <f>C12/COUNTA('Hasil Ekstraksi'!$A$2:$A$44)</f>
        <v>9.3023255813953487E-2</v>
      </c>
    </row>
    <row r="13" spans="1:4" x14ac:dyDescent="0.25">
      <c r="A13" s="4">
        <v>12</v>
      </c>
      <c r="B13" s="5" t="s">
        <v>198</v>
      </c>
      <c r="C13" s="4">
        <f>SUMPRODUCT(--ISNUMBER(SEARCH(", "&amp;$B13&amp;",",", "&amp;'Hasil Ekstraksi'!$E$2:$E$44&amp;",")))</f>
        <v>4</v>
      </c>
      <c r="D13" s="6">
        <f>C13/COUNTA('Hasil Ekstraksi'!$A$2:$A$44)</f>
        <v>9.3023255813953487E-2</v>
      </c>
    </row>
    <row r="14" spans="1:4" x14ac:dyDescent="0.25">
      <c r="A14" s="4">
        <v>13</v>
      </c>
      <c r="B14" s="5" t="s">
        <v>28</v>
      </c>
      <c r="C14" s="4">
        <f>SUMPRODUCT(--ISNUMBER(SEARCH(", "&amp;$B14&amp;",",", "&amp;'Hasil Ekstraksi'!$E$2:$E$44&amp;",")))</f>
        <v>4</v>
      </c>
      <c r="D14" s="6">
        <f>C14/COUNTA('Hasil Ekstraksi'!$A$2:$A$44)</f>
        <v>9.3023255813953487E-2</v>
      </c>
    </row>
    <row r="15" spans="1:4" x14ac:dyDescent="0.25">
      <c r="A15" s="4">
        <v>14</v>
      </c>
      <c r="B15" s="5" t="s">
        <v>199</v>
      </c>
      <c r="C15" s="4">
        <f>SUMPRODUCT(--ISNUMBER(SEARCH(", "&amp;$B15&amp;",",", "&amp;'Hasil Ekstraksi'!$E$2:$E$44&amp;",")))</f>
        <v>3</v>
      </c>
      <c r="D15" s="6">
        <f>C15/COUNTA('Hasil Ekstraksi'!$A$2:$A$44)</f>
        <v>6.9767441860465115E-2</v>
      </c>
    </row>
    <row r="16" spans="1:4" x14ac:dyDescent="0.25">
      <c r="A16" s="4">
        <v>15</v>
      </c>
      <c r="B16" s="5" t="s">
        <v>200</v>
      </c>
      <c r="C16" s="4">
        <f>SUMPRODUCT(--ISNUMBER(SEARCH(", "&amp;$B16&amp;",",", "&amp;'Hasil Ekstraksi'!$E$2:$E$44&amp;",")))</f>
        <v>3</v>
      </c>
      <c r="D16" s="6">
        <f>C16/COUNTA('Hasil Ekstraksi'!$A$2:$A$44)</f>
        <v>6.9767441860465115E-2</v>
      </c>
    </row>
    <row r="17" spans="1:4" x14ac:dyDescent="0.25">
      <c r="A17" s="4">
        <v>16</v>
      </c>
      <c r="B17" s="5" t="s">
        <v>201</v>
      </c>
      <c r="C17" s="4">
        <f>SUMPRODUCT(--ISNUMBER(SEARCH(", "&amp;$B17&amp;",",", "&amp;'Hasil Ekstraksi'!$E$2:$E$44&amp;",")))</f>
        <v>2</v>
      </c>
      <c r="D17" s="6">
        <f>C17/COUNTA('Hasil Ekstraksi'!$A$2:$A$44)</f>
        <v>4.6511627906976744E-2</v>
      </c>
    </row>
    <row r="18" spans="1:4" x14ac:dyDescent="0.25">
      <c r="A18" s="4">
        <v>17</v>
      </c>
      <c r="B18" s="5" t="s">
        <v>202</v>
      </c>
      <c r="C18" s="4">
        <f>SUMPRODUCT(--ISNUMBER(SEARCH(", "&amp;$B18&amp;",",", "&amp;'Hasil Ekstraksi'!$E$2:$E$44&amp;",")))</f>
        <v>2</v>
      </c>
      <c r="D18" s="6">
        <f>C18/COUNTA('Hasil Ekstraksi'!$A$2:$A$44)</f>
        <v>4.6511627906976744E-2</v>
      </c>
    </row>
    <row r="19" spans="1:4" x14ac:dyDescent="0.25">
      <c r="A19" s="4">
        <v>18</v>
      </c>
      <c r="B19" s="5" t="s">
        <v>203</v>
      </c>
      <c r="C19" s="4">
        <f>SUMPRODUCT(--ISNUMBER(SEARCH(", "&amp;$B19&amp;",",", "&amp;'Hasil Ekstraksi'!$E$2:$E$44&amp;",")))</f>
        <v>1</v>
      </c>
      <c r="D19" s="6">
        <f>C19/COUNTA('Hasil Ekstraksi'!$A$2:$A$44)</f>
        <v>2.3255813953488372E-2</v>
      </c>
    </row>
    <row r="21" spans="1:4" x14ac:dyDescent="0.25">
      <c r="A21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revision>0</cp:revision>
  <dcterms:created xsi:type="dcterms:W3CDTF">2026-10-10T23:14:51Z</dcterms:created>
  <dcterms:modified xsi:type="dcterms:W3CDTF">2026-10-10T23:20:09Z</dcterms:modified>
  <dc:language>en-US</dc:language>
</cp:coreProperties>
</file>