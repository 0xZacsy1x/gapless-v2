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 activeTab="1"/>
  </bookViews>
  <sheets>
    <sheet name="Hasil Ekstraksi" sheetId="1" r:id="rId1"/>
    <sheet name="Ringkasan Hard Skills" sheetId="2" r:id="rId2"/>
    <sheet name="Ringkasan Soft Skills" sheetId="3" r:id="rId3"/>
  </sheets>
  <definedNames>
    <definedName name="_xlnm._FilterDatabase" localSheetId="0" hidden="1">'Hasil Ekstraksi'!$A$1:$E$84</definedName>
  </definedNames>
  <calcPr calcId="1456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D58" i="2" s="1"/>
  <c r="C59" i="2"/>
  <c r="C60" i="2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2" i="3"/>
  <c r="D2" i="3" s="1"/>
  <c r="D60" i="2"/>
  <c r="D59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<sst xmlns="http://schemas.openxmlformats.org/spreadsheetml/2006/main" count="421" uniqueCount="347">
  <si>
    <t>No</t>
  </si>
  <si>
    <t>Nama Perusahaan</t>
  </si>
  <si>
    <t>Job Title</t>
  </si>
  <si>
    <t>Extracted Hard Skills</t>
  </si>
  <si>
    <t>Extracted Soft Skills</t>
  </si>
  <si>
    <t>tiket.com</t>
  </si>
  <si>
    <t>Software Engineer I (Things To Do &amp; Events)</t>
  </si>
  <si>
    <t>Golang, API Development, NoSQL Database, Redis, CI/CD Pipeline, Kafka, RabbitMQ</t>
  </si>
  <si>
    <t>Analytical Thinking, Ownership Mindset, Communication Skills, Learning Agility, Time Management</t>
  </si>
  <si>
    <t>PT DAYA CIPTA MANDIRI SOLUSI</t>
  </si>
  <si>
    <t>Java Spring Boot developer</t>
  </si>
  <si>
    <t>Java Spring Boot, SQL, Oracle Database, CI/CD Pipeline, Technical Documentation</t>
  </si>
  <si>
    <t>Analytical Thinking, Learning Agility, Integrity &amp; Discipline</t>
  </si>
  <si>
    <t>Kredivo Group</t>
  </si>
  <si>
    <t>Backend Engineer - Golang (SDE 1)</t>
  </si>
  <si>
    <t>Golang, Node.js, C++, REST API, Linux, AWS, Google Cloud Platform</t>
  </si>
  <si>
    <t>Problem Solving, Communication Skills, Attention to Detail, Team Collaboration, Creative Thinking</t>
  </si>
  <si>
    <t>Dealls – Jobs, CV &amp; Mentoring</t>
  </si>
  <si>
    <t>Senior Backend Engineer</t>
  </si>
  <si>
    <t>Golang, PostgreSQL, REST API, GraphQL, Message Queue, Kafka, RabbitMQ</t>
  </si>
  <si>
    <t>Ownership Mindset, Cross-Functional Collaboration, Integrity &amp; Discipline</t>
  </si>
  <si>
    <t>Qoala</t>
  </si>
  <si>
    <t>Senior Software Engineer (Backend)</t>
  </si>
  <si>
    <t>Golang, REST API, SQL, NoSQL Database, Elasticsearch, Docker, Kubernetes</t>
  </si>
  <si>
    <t>Problem Solving, Ownership Mindset, Cross-Functional Collaboration, Learning Agility, Proactive Initiative</t>
  </si>
  <si>
    <t>Software Engineer I</t>
  </si>
  <si>
    <t>Java, Golang, API Development, NoSQL Database, Git, Database Design, Debugging &amp; Troubleshooting</t>
  </si>
  <si>
    <t>Analytical Thinking, Ownership Mindset, Cross-Functional Collaboration, Learning Agility, Independent Work</t>
  </si>
  <si>
    <t>Backend Engineer - Golang (SDE II)</t>
  </si>
  <si>
    <t>Grab</t>
  </si>
  <si>
    <t>Senior Software Engineer, Backend</t>
  </si>
  <si>
    <t>Golang, Java, Prometheus &amp; Grafana, gRPC, REST API, Kafka, AI-Assisted Development</t>
  </si>
  <si>
    <t>-</t>
  </si>
  <si>
    <t>Noraa &amp; Co.</t>
  </si>
  <si>
    <t>Java, Golang, Node.js, Python, PHP, CI/CD Pipeline, PostgreSQL</t>
  </si>
  <si>
    <t>Ownership Mindset, Communication Skills, Cross-Functional Collaboration</t>
  </si>
  <si>
    <t>Traveloka</t>
  </si>
  <si>
    <t>Software Backend Engineer- Central Tech</t>
  </si>
  <si>
    <t>Golang, Java, Python, API Development, Scalable Systems, Performance Optimization, Debugging &amp; Troubleshooting</t>
  </si>
  <si>
    <t>PT. Akhdani Reka Solusi</t>
  </si>
  <si>
    <t>Software Engineer</t>
  </si>
  <si>
    <t>Golang, Python, Java Spring Boot, PHP, Laravel, .NET Core, API Development</t>
  </si>
  <si>
    <t>Communication Skills, Learning Agility</t>
  </si>
  <si>
    <t>Vodjo</t>
  </si>
  <si>
    <t>Go Developer</t>
  </si>
  <si>
    <t>Golang, REST API, Git, Linux, Scalable Systems, Security Best Practices, Software Testing</t>
  </si>
  <si>
    <t>PT Berca Hardayaperkasa</t>
  </si>
  <si>
    <t>Pengembang Java</t>
  </si>
  <si>
    <t>Oracle Database, MySQL, PostgreSQL, Software Testing, Debugging &amp; Troubleshooting</t>
  </si>
  <si>
    <t>Communication Skills, Learning Agility, Independent Work</t>
  </si>
  <si>
    <t>PT GDC Multi Sarana</t>
  </si>
  <si>
    <t>Back End Developer</t>
  </si>
  <si>
    <t>Golang, Node.js, API Development, Git, System Design, Scalable Systems, Security Best Practices</t>
  </si>
  <si>
    <t>Cross-Functional Collaboration</t>
  </si>
  <si>
    <t>Gradin Digital Agency</t>
  </si>
  <si>
    <t>Lowongan Kerja / Loker Backend Developer Surabaya</t>
  </si>
  <si>
    <t>PHP, Laravel, Node.js, MySQL, Git, Software Testing, Scalable Systems</t>
  </si>
  <si>
    <t>Dexa Group</t>
  </si>
  <si>
    <t>Software Engineer (Middle/Senior)</t>
  </si>
  <si>
    <t>TypeScript, Node.js, React.js, MySQL, Redis, MongoDB, PostgreSQL</t>
  </si>
  <si>
    <t>Cross-Functional Collaboration, Team Leadership</t>
  </si>
  <si>
    <t>Bibit.id</t>
  </si>
  <si>
    <t>Senior Backend Engineer (Crypto)</t>
  </si>
  <si>
    <t>Golang, Java, REST API, gRPC, PostgreSQL, MySQL, NoSQL Database</t>
  </si>
  <si>
    <t>Problem Solving, Ownership Mindset, Cross-Functional Collaboration, Learning Agility, Adaptability to Change</t>
  </si>
  <si>
    <t>Youtap Technology Ltd</t>
  </si>
  <si>
    <t>Senior Backend Developer</t>
  </si>
  <si>
    <t>Java Spring Boot, PostgreSQL, CI/CD Pipeline, Scalable Systems, Security Best Practices, Software Testing, Technical Documentation</t>
  </si>
  <si>
    <t>Cross-Functional Collaboration, Learning Agility, Team Leadership, Product Mindset</t>
  </si>
  <si>
    <t>Krom</t>
  </si>
  <si>
    <t>Lead Backend Engineer (Golang)</t>
  </si>
  <si>
    <t>Golang, REST API, Message Queue, AWS, Kafka, SQL, NoSQL Database</t>
  </si>
  <si>
    <t>Analytical Thinking, Ownership Mindset, Communication Skills, Cross-Functional Collaboration, Learning Agility</t>
  </si>
  <si>
    <t>PT Gistex Garmen Indonesia</t>
  </si>
  <si>
    <t>BACKEND PROGRAMMER</t>
  </si>
  <si>
    <t>Laravel, PHP, JavaScript, Java, API Development, MySQL, Git</t>
  </si>
  <si>
    <t>Product Mindset</t>
  </si>
  <si>
    <t>PT Adicipta Inovasi Teknologi</t>
  </si>
  <si>
    <t>.NET Developer</t>
  </si>
  <si>
    <t>C#, .NET Core, Angular, TypeScript, REST API, SQL, Debugging &amp; Troubleshooting</t>
  </si>
  <si>
    <t>Problem Solving, Learning Agility</t>
  </si>
  <si>
    <t>Senior Software Engineer, Backend - Insurance</t>
  </si>
  <si>
    <t>Golang, Java, MySQL, PostgreSQL, Oracle Database, Scalable Systems, Code Review</t>
  </si>
  <si>
    <t>Ownership Mindset, Independent Work</t>
  </si>
  <si>
    <t>Nextalent</t>
  </si>
  <si>
    <t>Back End Developer (Golang)</t>
  </si>
  <si>
    <t>Golang, SQL Server, SQL, MongoDB, REST API, Microservices Architecture, Software Testing</t>
  </si>
  <si>
    <t>Yoona International</t>
  </si>
  <si>
    <t>Node.js, API Development, AWS, Google Cloud Platform, Docker, CI/CD Pipeline, Git</t>
  </si>
  <si>
    <t>Problem Solving, Analytical Thinking, Attention to Detail, Team Collaboration, Time Management</t>
  </si>
  <si>
    <t>PT Deptech Digital Indonesia</t>
  </si>
  <si>
    <t>Backend Developer</t>
  </si>
  <si>
    <t>Java Spring Boot, Golang, REST API, MySQL, SQL Server, SQL, CI/CD Pipeline</t>
  </si>
  <si>
    <t>Cross-Functional Collaboration, Team Collaboration, Proactive Initiative</t>
  </si>
  <si>
    <t>Mekari</t>
  </si>
  <si>
    <t>Senior Software Engineer 2</t>
  </si>
  <si>
    <t>Ruby on Rails, REST API, Software Testing</t>
  </si>
  <si>
    <t>Learning Agility</t>
  </si>
  <si>
    <t>PT Pro Sigmaka Mandiri</t>
  </si>
  <si>
    <t>Junior Java Developer</t>
  </si>
  <si>
    <t>Java Spring Boot, Angular, REST API, SQL, MySQL, PostgreSQL, Git</t>
  </si>
  <si>
    <t>Problem Solving, Analytical Thinking, Communication Skills, Cross-Functional Collaboration</t>
  </si>
  <si>
    <t>Golang, C++, Java, .NET Core, Python, API Development, Kafka</t>
  </si>
  <si>
    <t>Cross-Functional Collaboration, Learning Agility, Team Collaboration, Proactive Initiative</t>
  </si>
  <si>
    <t>Ruby on Rails, Golang, REST API, Git, Software Testing, AI-Assisted Development, Object-Oriented Programming</t>
  </si>
  <si>
    <t>Quik Hire Staffing</t>
  </si>
  <si>
    <t>Senior Software Engineer - Backend (Hybrid)</t>
  </si>
  <si>
    <t>Python, Java, AWS, Microsoft Azure, Google Cloud Platform, Docker, Kubernetes</t>
  </si>
  <si>
    <t>Back-end developer</t>
  </si>
  <si>
    <t>Java Spring Boot, Git, CI/CD Pipeline, Performance Optimization, Debugging &amp; Troubleshooting, Code Review</t>
  </si>
  <si>
    <t>Problem Solving, Learning Agility, Team Collaboration</t>
  </si>
  <si>
    <t>ByteDance</t>
  </si>
  <si>
    <t>Software Engineer (Payment Network) - Global Payment - Indonesia</t>
  </si>
  <si>
    <t>Java, Golang, C++, C#, Python, Payment Integration, System Design</t>
  </si>
  <si>
    <t>Analytical Thinking, Learning Agility, Attention to Detail, Adaptability to Change, Time Management</t>
  </si>
  <si>
    <t>Shopee</t>
  </si>
  <si>
    <t>Back End Engineer (Enterprise Efficiency) - Sea Labs</t>
  </si>
  <si>
    <t>Java, Golang, Python, REST API, SQL, Git, CI/CD Pipeline</t>
  </si>
  <si>
    <t>Communication Skills, Cross-Functional Collaboration, Proactive Initiative</t>
  </si>
  <si>
    <t>Diksha Technologies</t>
  </si>
  <si>
    <t>Golang, gRPC, Scalable Systems, Performance Optimization, Microservices Architecture, Security Best Practices, Software Testing</t>
  </si>
  <si>
    <t>PT. Intikom Berlian Mustika</t>
  </si>
  <si>
    <t>Fullstack Software Developer</t>
  </si>
  <si>
    <t>C#, Java, Python, PHP, Node.js, TypeScript, React.js</t>
  </si>
  <si>
    <t>Problem Solving, Cross-Functional Collaboration, Learning Agility</t>
  </si>
  <si>
    <t>PT Daya Adicipta Mustika (Daya Group)</t>
  </si>
  <si>
    <t>Odoo Developer</t>
  </si>
  <si>
    <t>Odoo, Python, REST API, PostgreSQL, Git, Scalable Systems, ERP Integration</t>
  </si>
  <si>
    <t>Problem Solving, Communication Skills, Attention to Detail, Independent Work</t>
  </si>
  <si>
    <t>Hire Feed</t>
  </si>
  <si>
    <t>Software Engineer - E-Commerce (Remote)</t>
  </si>
  <si>
    <t>Golang, Python, Java, SQL, NoSQL Database, Git, CI/CD Pipeline</t>
  </si>
  <si>
    <t>Cross-Functional Collaboration, Results Orientation</t>
  </si>
  <si>
    <t>Adecco</t>
  </si>
  <si>
    <t>Mid/Senior Backend Engineering (Digital Banking/Payment)</t>
  </si>
  <si>
    <t>Golang, Java Spring Boot, REST API, gRPC, PostgreSQL, MongoDB, Kafka</t>
  </si>
  <si>
    <t>Problem Solving, Analytical Thinking, Communication Skills, Cross-Functional Collaboration, Attention to Detail</t>
  </si>
  <si>
    <t>PT Ultra Sakti</t>
  </si>
  <si>
    <t>SOFTWARE ENGINEER</t>
  </si>
  <si>
    <t>React.js, Java Spring Boot, Node.js, Golang, REST API, Git, Scalable Systems</t>
  </si>
  <si>
    <t>Problem Solving, Analytical Thinking, Cross-Functional Collaboration, Learning Agility, Proactive Initiative</t>
  </si>
  <si>
    <t>Nusantech</t>
  </si>
  <si>
    <t>Senior Java Spring Boot Developer</t>
  </si>
  <si>
    <t>Java Spring Boot, REST API, PostgreSQL, MySQL, Git, CI/CD Pipeline, Docker</t>
  </si>
  <si>
    <t>Analytical Thinking, Cross-Functional Collaboration, Team Leadership</t>
  </si>
  <si>
    <t>Sea</t>
  </si>
  <si>
    <t>Senior Back End Engineer (Enterprise Efficiency) - Sea Labs</t>
  </si>
  <si>
    <t>Java, Golang, Python, API Development, MySQL, PostgreSQL, Redis</t>
  </si>
  <si>
    <t>Cross-Functional Collaboration, Proactive Initiative, Team Leadership</t>
  </si>
  <si>
    <t>Halojasa Indonesia</t>
  </si>
  <si>
    <t>Back End Node Js</t>
  </si>
  <si>
    <t>Node.js, API Development, System Design, Agile &amp; Scrum</t>
  </si>
  <si>
    <t>Java Spring Boot Developer</t>
  </si>
  <si>
    <t>Analytical Thinking, Cross-Functional Collaboration</t>
  </si>
  <si>
    <t>Monee</t>
  </si>
  <si>
    <t>Back End Engineer (ShopeePay) - Sea Labs</t>
  </si>
  <si>
    <t>Golang, Python, MySQL, Linux, Payment Integration, Data Structures &amp; Algorithms, Database Design</t>
  </si>
  <si>
    <t>Analytical Thinking, Cross-Functional Collaboration, Product Mindset</t>
  </si>
  <si>
    <t>Senior Backend Engineer (Remote)</t>
  </si>
  <si>
    <t>Python, Java, REST API, GraphQL, SQL, NoSQL Database, AWS</t>
  </si>
  <si>
    <t>Problem Solving, Cross-Functional Collaboration, Attention to Detail</t>
  </si>
  <si>
    <t>API Development, AI-Assisted Development, System Design</t>
  </si>
  <si>
    <t>Adaptability to Change, Team Leadership</t>
  </si>
  <si>
    <t>PT Siaga Abdi Utama</t>
  </si>
  <si>
    <t>PHP, Golang, API Development, gRPC, Message Queue, Kafka, System Design</t>
  </si>
  <si>
    <t>Tentang Anak</t>
  </si>
  <si>
    <t>Backend Engineer</t>
  </si>
  <si>
    <t>PHP, Laravel, Node.js, Golang, API Development, Prometheus &amp; Grafana, MySQL</t>
  </si>
  <si>
    <t>Ownership Mindset, Communication Skills, Cross-Functional Collaboration, Proactive Initiative, Adaptability to Change</t>
  </si>
  <si>
    <t>Vascomm</t>
  </si>
  <si>
    <t>Full Stack Developer Laravel</t>
  </si>
  <si>
    <t>Laravel, Node.js, PostgreSQL, API Development, Software Testing, Security Best Practices</t>
  </si>
  <si>
    <t>hsCode Solution</t>
  </si>
  <si>
    <t>.NET Core, C#, SQL, HTML &amp; CSS</t>
  </si>
  <si>
    <t>NTT DATA, Inc.</t>
  </si>
  <si>
    <t>C++, C#, Java, Python, Node.js, AWS, Google Cloud Platform</t>
  </si>
  <si>
    <t>Analytical Thinking, Ownership Mindset, Cross-Functional Collaboration, Attention to Detail, Proactive Initiative</t>
  </si>
  <si>
    <t>Java Spring Boot, Node.js, Golang, Python, REST API, GraphQL, SQL</t>
  </si>
  <si>
    <t>Analytical Thinking, Ownership Mindset, Learning Agility, Attention to Detail, Proactive Initiative</t>
  </si>
  <si>
    <t>Widya Matador</t>
  </si>
  <si>
    <t>Fullstack Developer Internship</t>
  </si>
  <si>
    <t>React.js, Vue.js, Node.js, Python, PHP, Laravel, MySQL</t>
  </si>
  <si>
    <t>Problem Solving, Analytical Thinking, Communication Skills, Independent Work</t>
  </si>
  <si>
    <t>PT Bank Neo Commerce Tbk</t>
  </si>
  <si>
    <t>Senior Software Engineer</t>
  </si>
  <si>
    <t>Java, Golang, Docker, Prometheus &amp; Grafana, Scalable Systems, Performance Optimization, Payment Integration</t>
  </si>
  <si>
    <t>Cross-Functional Collaboration, Team Leadership, Integrity &amp; Discipline</t>
  </si>
  <si>
    <t>INDICO by Telkomsel</t>
  </si>
  <si>
    <t>Java, PHP, Python, Golang, Node.js, REST API, SQL</t>
  </si>
  <si>
    <t>Problem Solving, Analytical Thinking, Ownership Mindset, Cross-Functional Collaboration</t>
  </si>
  <si>
    <t>PT. Adi Data Informatika</t>
  </si>
  <si>
    <t>Dotnet Developer (Microservices)</t>
  </si>
  <si>
    <t>.NET Core, REST API, Microservices Architecture</t>
  </si>
  <si>
    <t>Pengembang Fullstack</t>
  </si>
  <si>
    <t>.NET Core, Laravel, Angular, React.js, SQL, SQL Server, MySQL</t>
  </si>
  <si>
    <t>Problem Solving, Analytical Thinking, Communication Skills</t>
  </si>
  <si>
    <t>PT Bank Digital BCA (BCA Digital)</t>
  </si>
  <si>
    <t>Java Spring Boot, Git, CI/CD Pipeline, Kubernetes, PostgreSQL, Kafka, Redis</t>
  </si>
  <si>
    <t>Problem Solving, Cross-Functional Collaboration</t>
  </si>
  <si>
    <t>VOX ASIA / PT Indo Online Mitra Usaha</t>
  </si>
  <si>
    <t>C#, .NET Core, Python, Java, SQL Server, SQL, PostgreSQL</t>
  </si>
  <si>
    <t>PT. Reinovasi Zona Kreasi Indonesia</t>
  </si>
  <si>
    <t>Laravel Programmer</t>
  </si>
  <si>
    <t>PHP, Laravel, HTML &amp; CSS, MySQL, Git</t>
  </si>
  <si>
    <t>Full Stack Engineer</t>
  </si>
  <si>
    <t>.NET Core, C#, React.js, Angular, Vue.js, TypeScript, REST API</t>
  </si>
  <si>
    <t>Problem Solving, Analytical Thinking</t>
  </si>
  <si>
    <t>PT Handal Guna Sarana (HGS)</t>
  </si>
  <si>
    <t>Programmer</t>
  </si>
  <si>
    <t>PHP, JavaScript, Java, Python, MySQL, PostgreSQL, SQL Server</t>
  </si>
  <si>
    <t>Creative Thinking, Product Mindset</t>
  </si>
  <si>
    <t>EDTS</t>
  </si>
  <si>
    <t>Associate Backend Engineer</t>
  </si>
  <si>
    <t>Golang, Java Spring Boot, SQL, REST API, Git, Scalable Systems, Software Testing</t>
  </si>
  <si>
    <t>Cross-Functional Collaboration, Learning Agility, Team Leadership</t>
  </si>
  <si>
    <t>NawaData</t>
  </si>
  <si>
    <t>Backend .Net Developer</t>
  </si>
  <si>
    <t>.NET Core, SQL, API Development, SQL Server, PostgreSQL, MySQL, Software Testing</t>
  </si>
  <si>
    <t>Problem Solving, Analytical Thinking, Communication Skills, Cross-Functional Collaboration, Learning Agility</t>
  </si>
  <si>
    <t>.Net Developer</t>
  </si>
  <si>
    <t>.NET Core, C#, SQL Server, SQL, MySQL, PostgreSQL, REST API</t>
  </si>
  <si>
    <t>Cross-Functional Collaboration, Product Mindset</t>
  </si>
  <si>
    <t>TikTok</t>
  </si>
  <si>
    <t>Backend Engineer Intern (TikTok Shop by Tokopedia) - 2027 Start</t>
  </si>
  <si>
    <t>Golang, React.js, SQL, Software Testing, Data Structures &amp; Algorithms, Debugging &amp; Troubleshooting, Object-Oriented Programming</t>
  </si>
  <si>
    <t>Problem Solving, Integrity &amp; Discipline</t>
  </si>
  <si>
    <t>SQE (S-Quantum Engine)</t>
  </si>
  <si>
    <t>Backend Engineer (Contract Basis)</t>
  </si>
  <si>
    <t>Golang, Java Spring Boot, Python, REST API, CI/CD Pipeline, Docker, Kubernetes</t>
  </si>
  <si>
    <t>Problem Solving, Ownership Mindset, Communication Skills, Cross-Functional Collaboration, Learning Agility</t>
  </si>
  <si>
    <t>Firerock Indonesia</t>
  </si>
  <si>
    <t>MySQL, MongoDB, Redis, Kafka, Kubernetes, Scalable Systems, Performance Optimization</t>
  </si>
  <si>
    <t>Problem Solving, Communication Skills, Cross-Functional Collaboration, Attention to Detail, Team Collaboration</t>
  </si>
  <si>
    <t>PT. Istidata Indopacific Solution Centre</t>
  </si>
  <si>
    <t>Junior Developer</t>
  </si>
  <si>
    <t>C#, .NET Core, Java, Angular, HTML &amp; CSS, SQL Server, SQL</t>
  </si>
  <si>
    <t>Problem Solving, Analytical Thinking, Communication Skills, Learning Agility, Team Collaboration</t>
  </si>
  <si>
    <t>ASTRO</t>
  </si>
  <si>
    <t>Golang, gRPC, Redis, Message Queue, Kafka, SQL, NoSQL Database</t>
  </si>
  <si>
    <t>Ownership Mindset, Cross-Functional Collaboration, Learning Agility, Proactive Initiative, Team Leadership</t>
  </si>
  <si>
    <t>.NET Core, C#, Git, SQL Server, SQL, Debugging &amp; Troubleshooting</t>
  </si>
  <si>
    <t>Cermati Fintech Group</t>
  </si>
  <si>
    <t>Java, Node.js, API Development, Kubernetes, Prometheus &amp; Grafana, Google Cloud Platform, PostgreSQL</t>
  </si>
  <si>
    <t>Problem Solving, Team Leadership</t>
  </si>
  <si>
    <t>TechConnect</t>
  </si>
  <si>
    <t>Lancesoft Indonesia</t>
  </si>
  <si>
    <t>Java Developer</t>
  </si>
  <si>
    <t>Java Spring Boot, Software Testing, Debugging &amp; Troubleshooting, Data Structures &amp; Algorithms, Object-Oriented Programming</t>
  </si>
  <si>
    <t>Problem Solving, Analytical Thinking, Communication Skills, Learning Agility, Attention to Detail</t>
  </si>
  <si>
    <t>UangMe</t>
  </si>
  <si>
    <t>Golang Developer (Mandarin Speaker)</t>
  </si>
  <si>
    <t>Golang, PHP, React.js, Vue.js, HTML &amp; CSS, REST API, MySQL</t>
  </si>
  <si>
    <t>PT. CYBERTREND INTRABUANA</t>
  </si>
  <si>
    <t>Software Developer</t>
  </si>
  <si>
    <t>PHP, Java Spring Boot, Node.js, Angular, Git, REST API, Scalable Systems</t>
  </si>
  <si>
    <t>Problem Solving, Analytical Thinking, Communication Skills, Learning Agility, Independent Work</t>
  </si>
  <si>
    <t>upscale.id</t>
  </si>
  <si>
    <t>3. Backend Engineer (GO)</t>
  </si>
  <si>
    <t>Golang, PHP, AWS, Google Cloud Platform, Microsoft Azure, Linux, HTML &amp; CSS</t>
  </si>
  <si>
    <t>Communication Skills, Attention to Detail, Time Management, Team Leadership, Product Mindset</t>
  </si>
  <si>
    <t>BrainBoost.id</t>
  </si>
  <si>
    <t>Node.js, TypeScript, Golang, PostgreSQL, REST API, Message Queue, RabbitMQ</t>
  </si>
  <si>
    <t>Ownership Mindset, Cross-Functional Collaboration, Learning Agility, Attention to Detail, Team Collaboration</t>
  </si>
  <si>
    <t>DIALX</t>
  </si>
  <si>
    <t>Python Engineer</t>
  </si>
  <si>
    <t>Python, Prometheus &amp; Grafana, REST API, Git, AI-Assisted Development, Security Best Practices, Software Testing</t>
  </si>
  <si>
    <t>Ownership Mindset, Proactive Initiative</t>
  </si>
  <si>
    <t>PT Astra International Tbk</t>
  </si>
  <si>
    <t>Web Developer - GSI</t>
  </si>
  <si>
    <t>.NET Core, PHP, Debugging &amp; Troubleshooting</t>
  </si>
  <si>
    <t>Communication Skills, Learning Agility, Team Collaboration, Independent Work</t>
  </si>
  <si>
    <t>Skill</t>
  </si>
  <si>
    <t>Jumlah Lowongan</t>
  </si>
  <si>
    <t>% dari Lowongan</t>
  </si>
  <si>
    <t>Golang</t>
  </si>
  <si>
    <t>REST API</t>
  </si>
  <si>
    <t>Java</t>
  </si>
  <si>
    <t>Python</t>
  </si>
  <si>
    <t>PostgreSQL</t>
  </si>
  <si>
    <t>SQL</t>
  </si>
  <si>
    <t>Git</t>
  </si>
  <si>
    <t>MySQL</t>
  </si>
  <si>
    <t>Node.js</t>
  </si>
  <si>
    <t>API Development</t>
  </si>
  <si>
    <t>Java Spring Boot</t>
  </si>
  <si>
    <t>CI/CD Pipeline</t>
  </si>
  <si>
    <t>PHP</t>
  </si>
  <si>
    <t>Software Testing</t>
  </si>
  <si>
    <t>.NET Core</t>
  </si>
  <si>
    <t>Scalable Systems</t>
  </si>
  <si>
    <t>C#</t>
  </si>
  <si>
    <t>Kafka</t>
  </si>
  <si>
    <t>Debugging &amp; Troubleshooting</t>
  </si>
  <si>
    <t>SQL Server</t>
  </si>
  <si>
    <t>AWS</t>
  </si>
  <si>
    <t>Docker</t>
  </si>
  <si>
    <t>Google Cloud Platform</t>
  </si>
  <si>
    <t>Kubernetes</t>
  </si>
  <si>
    <t>Laravel</t>
  </si>
  <si>
    <t>NoSQL Database</t>
  </si>
  <si>
    <t>React.js</t>
  </si>
  <si>
    <t>Redis</t>
  </si>
  <si>
    <t>Angular</t>
  </si>
  <si>
    <t>Prometheus &amp; Grafana</t>
  </si>
  <si>
    <t>Security Best Practices</t>
  </si>
  <si>
    <t>gRPC</t>
  </si>
  <si>
    <t>C++</t>
  </si>
  <si>
    <t>HTML &amp; CSS</t>
  </si>
  <si>
    <t>Linux</t>
  </si>
  <si>
    <t>Message Queue</t>
  </si>
  <si>
    <t>Performance Optimization</t>
  </si>
  <si>
    <t>System Design</t>
  </si>
  <si>
    <t>TypeScript</t>
  </si>
  <si>
    <t>AI-Assisted Development</t>
  </si>
  <si>
    <t>MongoDB</t>
  </si>
  <si>
    <t>Data Structures &amp; Algorithms</t>
  </si>
  <si>
    <t>GraphQL</t>
  </si>
  <si>
    <t>Microservices Architecture</t>
  </si>
  <si>
    <t>Object-Oriented Programming</t>
  </si>
  <si>
    <t>Oracle Database</t>
  </si>
  <si>
    <t>Payment Integration</t>
  </si>
  <si>
    <t>RabbitMQ</t>
  </si>
  <si>
    <t>Vue.js</t>
  </si>
  <si>
    <t>Code Review</t>
  </si>
  <si>
    <t>Database Design</t>
  </si>
  <si>
    <t>JavaScript</t>
  </si>
  <si>
    <t>Microsoft Azure</t>
  </si>
  <si>
    <t>Ruby on Rails</t>
  </si>
  <si>
    <t>Technical Documentation</t>
  </si>
  <si>
    <t>Agile &amp; Scrum</t>
  </si>
  <si>
    <t>ERP Integration</t>
  </si>
  <si>
    <t>Elasticsearch</t>
  </si>
  <si>
    <t>Odoo</t>
  </si>
  <si>
    <t>Problem Solving</t>
  </si>
  <si>
    <t>Communication Skills</t>
  </si>
  <si>
    <t>Analytical Thinking</t>
  </si>
  <si>
    <t>Ownership Mindset</t>
  </si>
  <si>
    <t>Proactive Initiative</t>
  </si>
  <si>
    <t>Attention to Detail</t>
  </si>
  <si>
    <t>Team Leadership</t>
  </si>
  <si>
    <t>Team Collaboration</t>
  </si>
  <si>
    <t>Independent Work</t>
  </si>
  <si>
    <t>Adaptability to Change</t>
  </si>
  <si>
    <t>Integrity &amp; Discipline</t>
  </si>
  <si>
    <t>Time Management</t>
  </si>
  <si>
    <t>Creative Thinking</t>
  </si>
  <si>
    <t>Results 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</si>
</sst>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opLeftCell="C1" zoomScaleNormal="100" workbookViewId="0">
      <pane ySplit="1" topLeftCell="A92" activePane="bottomLeft" state="frozen"/>
      <selection pane="bottomLeft" activeCell="D12" sqref="D12"/>
    </sheetView>
  </sheetViews>
  <sheetFormatPr defaultColWidth="8.7109375" defaultRowHeight="15" x14ac:dyDescent="0.25"/>
  <cols>
    <col min="1" max="1" width="6" customWidth="1"/>
    <col min="2" max="2" width="32" customWidth="1"/>
    <col min="3" max="3" width="42" customWidth="1"/>
    <col min="4" max="4" width="70" customWidth="1"/>
    <col min="5" max="5" width="5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x14ac:dyDescent="0.25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ht="25.5" x14ac:dyDescent="0.25">
      <c r="A3" s="2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ht="25.5" x14ac:dyDescent="0.25">
      <c r="A4" s="2">
        <v>3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ht="25.5" x14ac:dyDescent="0.25">
      <c r="A5" s="2">
        <v>4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25.5" x14ac:dyDescent="0.25">
      <c r="A6" s="2">
        <v>5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 ht="25.5" x14ac:dyDescent="0.25">
      <c r="A7" s="2">
        <v>6</v>
      </c>
      <c r="B7" s="3" t="s">
        <v>5</v>
      </c>
      <c r="C7" s="3" t="s">
        <v>25</v>
      </c>
      <c r="D7" s="3" t="s">
        <v>26</v>
      </c>
      <c r="E7" s="3" t="s">
        <v>27</v>
      </c>
    </row>
    <row r="8" spans="1:5" ht="25.5" x14ac:dyDescent="0.25">
      <c r="A8" s="2">
        <v>7</v>
      </c>
      <c r="B8" s="3" t="s">
        <v>13</v>
      </c>
      <c r="C8" s="3" t="s">
        <v>28</v>
      </c>
      <c r="D8" s="3" t="s">
        <v>15</v>
      </c>
      <c r="E8" s="3" t="s">
        <v>16</v>
      </c>
    </row>
    <row r="9" spans="1:5" ht="25.5" x14ac:dyDescent="0.25">
      <c r="A9" s="2">
        <v>8</v>
      </c>
      <c r="B9" s="3" t="s">
        <v>29</v>
      </c>
      <c r="C9" s="3" t="s">
        <v>30</v>
      </c>
      <c r="D9" s="3" t="s">
        <v>31</v>
      </c>
      <c r="E9" s="3" t="s">
        <v>32</v>
      </c>
    </row>
    <row r="10" spans="1:5" ht="25.5" x14ac:dyDescent="0.25">
      <c r="A10" s="2">
        <v>9</v>
      </c>
      <c r="B10" s="3" t="s">
        <v>33</v>
      </c>
      <c r="C10" s="3" t="s">
        <v>18</v>
      </c>
      <c r="D10" s="3" t="s">
        <v>34</v>
      </c>
      <c r="E10" s="3" t="s">
        <v>35</v>
      </c>
    </row>
    <row r="11" spans="1:5" ht="25.5" x14ac:dyDescent="0.25">
      <c r="A11" s="2">
        <v>10</v>
      </c>
      <c r="B11" s="3" t="s">
        <v>36</v>
      </c>
      <c r="C11" s="3" t="s">
        <v>37</v>
      </c>
      <c r="D11" s="3" t="s">
        <v>38</v>
      </c>
      <c r="E11" s="3" t="s">
        <v>24</v>
      </c>
    </row>
    <row r="12" spans="1:5" x14ac:dyDescent="0.25">
      <c r="A12" s="2">
        <v>11</v>
      </c>
      <c r="B12" s="3" t="s">
        <v>39</v>
      </c>
      <c r="C12" s="3" t="s">
        <v>40</v>
      </c>
      <c r="D12" s="3" t="s">
        <v>41</v>
      </c>
      <c r="E12" s="3" t="s">
        <v>42</v>
      </c>
    </row>
    <row r="13" spans="1:5" ht="25.5" x14ac:dyDescent="0.25">
      <c r="A13" s="2">
        <v>12</v>
      </c>
      <c r="B13" s="3" t="s">
        <v>43</v>
      </c>
      <c r="C13" s="3" t="s">
        <v>44</v>
      </c>
      <c r="D13" s="3" t="s">
        <v>45</v>
      </c>
      <c r="E13" s="3" t="s">
        <v>32</v>
      </c>
    </row>
    <row r="14" spans="1:5" ht="25.5" x14ac:dyDescent="0.25">
      <c r="A14" s="2">
        <v>13</v>
      </c>
      <c r="B14" s="3" t="s">
        <v>46</v>
      </c>
      <c r="C14" s="3" t="s">
        <v>47</v>
      </c>
      <c r="D14" s="3" t="s">
        <v>48</v>
      </c>
      <c r="E14" s="3" t="s">
        <v>49</v>
      </c>
    </row>
    <row r="15" spans="1:5" ht="25.5" x14ac:dyDescent="0.25">
      <c r="A15" s="2">
        <v>14</v>
      </c>
      <c r="B15" s="3" t="s">
        <v>50</v>
      </c>
      <c r="C15" s="3" t="s">
        <v>51</v>
      </c>
      <c r="D15" s="3" t="s">
        <v>52</v>
      </c>
      <c r="E15" s="3" t="s">
        <v>53</v>
      </c>
    </row>
    <row r="16" spans="1:5" ht="25.5" x14ac:dyDescent="0.25">
      <c r="A16" s="2">
        <v>15</v>
      </c>
      <c r="B16" s="3" t="s">
        <v>54</v>
      </c>
      <c r="C16" s="3" t="s">
        <v>55</v>
      </c>
      <c r="D16" s="3" t="s">
        <v>56</v>
      </c>
      <c r="E16" s="3" t="s">
        <v>32</v>
      </c>
    </row>
    <row r="17" spans="1:5" x14ac:dyDescent="0.25">
      <c r="A17" s="2">
        <v>16</v>
      </c>
      <c r="B17" s="3" t="s">
        <v>57</v>
      </c>
      <c r="C17" s="3" t="s">
        <v>58</v>
      </c>
      <c r="D17" s="3" t="s">
        <v>59</v>
      </c>
      <c r="E17" s="3" t="s">
        <v>60</v>
      </c>
    </row>
    <row r="18" spans="1:5" ht="25.5" x14ac:dyDescent="0.25">
      <c r="A18" s="2">
        <v>17</v>
      </c>
      <c r="B18" s="3" t="s">
        <v>61</v>
      </c>
      <c r="C18" s="3" t="s">
        <v>62</v>
      </c>
      <c r="D18" s="3" t="s">
        <v>63</v>
      </c>
      <c r="E18" s="3" t="s">
        <v>64</v>
      </c>
    </row>
    <row r="19" spans="1:5" ht="25.5" x14ac:dyDescent="0.25">
      <c r="A19" s="2">
        <v>18</v>
      </c>
      <c r="B19" s="3" t="s">
        <v>65</v>
      </c>
      <c r="C19" s="3" t="s">
        <v>66</v>
      </c>
      <c r="D19" s="3" t="s">
        <v>67</v>
      </c>
      <c r="E19" s="3" t="s">
        <v>68</v>
      </c>
    </row>
    <row r="20" spans="1:5" ht="25.5" x14ac:dyDescent="0.25">
      <c r="A20" s="2">
        <v>19</v>
      </c>
      <c r="B20" s="3" t="s">
        <v>69</v>
      </c>
      <c r="C20" s="3" t="s">
        <v>70</v>
      </c>
      <c r="D20" s="3" t="s">
        <v>71</v>
      </c>
      <c r="E20" s="3" t="s">
        <v>72</v>
      </c>
    </row>
    <row r="21" spans="1:5" x14ac:dyDescent="0.25">
      <c r="A21" s="2">
        <v>20</v>
      </c>
      <c r="B21" s="3" t="s">
        <v>73</v>
      </c>
      <c r="C21" s="3" t="s">
        <v>74</v>
      </c>
      <c r="D21" s="3" t="s">
        <v>75</v>
      </c>
      <c r="E21" s="3" t="s">
        <v>76</v>
      </c>
    </row>
    <row r="22" spans="1:5" ht="25.5" x14ac:dyDescent="0.25">
      <c r="A22" s="2">
        <v>21</v>
      </c>
      <c r="B22" s="3" t="s">
        <v>77</v>
      </c>
      <c r="C22" s="3" t="s">
        <v>78</v>
      </c>
      <c r="D22" s="3" t="s">
        <v>79</v>
      </c>
      <c r="E22" s="3" t="s">
        <v>80</v>
      </c>
    </row>
    <row r="23" spans="1:5" ht="25.5" x14ac:dyDescent="0.25">
      <c r="A23" s="2">
        <v>22</v>
      </c>
      <c r="B23" s="3" t="s">
        <v>29</v>
      </c>
      <c r="C23" s="3" t="s">
        <v>81</v>
      </c>
      <c r="D23" s="3" t="s">
        <v>82</v>
      </c>
      <c r="E23" s="3" t="s">
        <v>83</v>
      </c>
    </row>
    <row r="24" spans="1:5" ht="25.5" x14ac:dyDescent="0.25">
      <c r="A24" s="2">
        <v>23</v>
      </c>
      <c r="B24" s="3" t="s">
        <v>84</v>
      </c>
      <c r="C24" s="3" t="s">
        <v>85</v>
      </c>
      <c r="D24" s="3" t="s">
        <v>86</v>
      </c>
      <c r="E24" s="3" t="s">
        <v>53</v>
      </c>
    </row>
    <row r="25" spans="1:5" ht="25.5" x14ac:dyDescent="0.25">
      <c r="A25" s="2">
        <v>24</v>
      </c>
      <c r="B25" s="3" t="s">
        <v>87</v>
      </c>
      <c r="C25" s="3" t="s">
        <v>18</v>
      </c>
      <c r="D25" s="3" t="s">
        <v>88</v>
      </c>
      <c r="E25" s="3" t="s">
        <v>89</v>
      </c>
    </row>
    <row r="26" spans="1:5" ht="25.5" x14ac:dyDescent="0.25">
      <c r="A26" s="2">
        <v>25</v>
      </c>
      <c r="B26" s="3" t="s">
        <v>90</v>
      </c>
      <c r="C26" s="3" t="s">
        <v>91</v>
      </c>
      <c r="D26" s="3" t="s">
        <v>92</v>
      </c>
      <c r="E26" s="3" t="s">
        <v>93</v>
      </c>
    </row>
    <row r="27" spans="1:5" x14ac:dyDescent="0.25">
      <c r="A27" s="2">
        <v>26</v>
      </c>
      <c r="B27" s="3" t="s">
        <v>94</v>
      </c>
      <c r="C27" s="3" t="s">
        <v>95</v>
      </c>
      <c r="D27" s="3" t="s">
        <v>96</v>
      </c>
      <c r="E27" s="3" t="s">
        <v>97</v>
      </c>
    </row>
    <row r="28" spans="1:5" ht="25.5" x14ac:dyDescent="0.25">
      <c r="A28" s="2">
        <v>27</v>
      </c>
      <c r="B28" s="3" t="s">
        <v>98</v>
      </c>
      <c r="C28" s="3" t="s">
        <v>99</v>
      </c>
      <c r="D28" s="3" t="s">
        <v>100</v>
      </c>
      <c r="E28" s="3" t="s">
        <v>101</v>
      </c>
    </row>
    <row r="29" spans="1:5" ht="25.5" x14ac:dyDescent="0.25">
      <c r="A29" s="2">
        <v>28</v>
      </c>
      <c r="B29" s="3" t="s">
        <v>61</v>
      </c>
      <c r="C29" s="3" t="s">
        <v>18</v>
      </c>
      <c r="D29" s="3" t="s">
        <v>102</v>
      </c>
      <c r="E29" s="3" t="s">
        <v>103</v>
      </c>
    </row>
    <row r="30" spans="1:5" ht="25.5" x14ac:dyDescent="0.25">
      <c r="A30" s="2">
        <v>29</v>
      </c>
      <c r="B30" s="3" t="s">
        <v>94</v>
      </c>
      <c r="C30" s="3" t="s">
        <v>95</v>
      </c>
      <c r="D30" s="3" t="s">
        <v>104</v>
      </c>
      <c r="E30" s="3" t="s">
        <v>80</v>
      </c>
    </row>
    <row r="31" spans="1:5" ht="25.5" x14ac:dyDescent="0.25">
      <c r="A31" s="2">
        <v>30</v>
      </c>
      <c r="B31" s="3" t="s">
        <v>105</v>
      </c>
      <c r="C31" s="3" t="s">
        <v>106</v>
      </c>
      <c r="D31" s="3" t="s">
        <v>107</v>
      </c>
      <c r="E31" s="3" t="s">
        <v>53</v>
      </c>
    </row>
    <row r="32" spans="1:5" ht="25.5" x14ac:dyDescent="0.25">
      <c r="A32" s="2">
        <v>31</v>
      </c>
      <c r="B32" s="3" t="s">
        <v>9</v>
      </c>
      <c r="C32" s="3" t="s">
        <v>108</v>
      </c>
      <c r="D32" s="3" t="s">
        <v>109</v>
      </c>
      <c r="E32" s="3" t="s">
        <v>110</v>
      </c>
    </row>
    <row r="33" spans="1:5" ht="25.5" x14ac:dyDescent="0.25">
      <c r="A33" s="2">
        <v>32</v>
      </c>
      <c r="B33" s="3" t="s">
        <v>111</v>
      </c>
      <c r="C33" s="3" t="s">
        <v>112</v>
      </c>
      <c r="D33" s="3" t="s">
        <v>113</v>
      </c>
      <c r="E33" s="3" t="s">
        <v>114</v>
      </c>
    </row>
    <row r="34" spans="1:5" ht="25.5" x14ac:dyDescent="0.25">
      <c r="A34" s="2">
        <v>33</v>
      </c>
      <c r="B34" s="3" t="s">
        <v>115</v>
      </c>
      <c r="C34" s="3" t="s">
        <v>116</v>
      </c>
      <c r="D34" s="3" t="s">
        <v>117</v>
      </c>
      <c r="E34" s="3" t="s">
        <v>118</v>
      </c>
    </row>
    <row r="35" spans="1:5" ht="25.5" x14ac:dyDescent="0.25">
      <c r="A35" s="2">
        <v>34</v>
      </c>
      <c r="B35" s="3" t="s">
        <v>119</v>
      </c>
      <c r="C35" s="3" t="s">
        <v>51</v>
      </c>
      <c r="D35" s="3" t="s">
        <v>120</v>
      </c>
      <c r="E35" s="3" t="s">
        <v>32</v>
      </c>
    </row>
    <row r="36" spans="1:5" ht="25.5" x14ac:dyDescent="0.25">
      <c r="A36" s="2">
        <v>35</v>
      </c>
      <c r="B36" s="3" t="s">
        <v>121</v>
      </c>
      <c r="C36" s="3" t="s">
        <v>122</v>
      </c>
      <c r="D36" s="3" t="s">
        <v>123</v>
      </c>
      <c r="E36" s="3" t="s">
        <v>124</v>
      </c>
    </row>
    <row r="37" spans="1:5" ht="25.5" x14ac:dyDescent="0.25">
      <c r="A37" s="2">
        <v>36</v>
      </c>
      <c r="B37" s="3" t="s">
        <v>125</v>
      </c>
      <c r="C37" s="3" t="s">
        <v>126</v>
      </c>
      <c r="D37" s="3" t="s">
        <v>127</v>
      </c>
      <c r="E37" s="3" t="s">
        <v>128</v>
      </c>
    </row>
    <row r="38" spans="1:5" x14ac:dyDescent="0.25">
      <c r="A38" s="2">
        <v>37</v>
      </c>
      <c r="B38" s="3" t="s">
        <v>129</v>
      </c>
      <c r="C38" s="3" t="s">
        <v>130</v>
      </c>
      <c r="D38" s="3" t="s">
        <v>131</v>
      </c>
      <c r="E38" s="3" t="s">
        <v>132</v>
      </c>
    </row>
    <row r="39" spans="1:5" ht="25.5" x14ac:dyDescent="0.25">
      <c r="A39" s="2">
        <v>38</v>
      </c>
      <c r="B39" s="3" t="s">
        <v>133</v>
      </c>
      <c r="C39" s="3" t="s">
        <v>134</v>
      </c>
      <c r="D39" s="3" t="s">
        <v>135</v>
      </c>
      <c r="E39" s="3" t="s">
        <v>136</v>
      </c>
    </row>
    <row r="40" spans="1:5" ht="25.5" x14ac:dyDescent="0.25">
      <c r="A40" s="2">
        <v>39</v>
      </c>
      <c r="B40" s="3" t="s">
        <v>137</v>
      </c>
      <c r="C40" s="3" t="s">
        <v>138</v>
      </c>
      <c r="D40" s="3" t="s">
        <v>139</v>
      </c>
      <c r="E40" s="3" t="s">
        <v>140</v>
      </c>
    </row>
    <row r="41" spans="1:5" ht="25.5" x14ac:dyDescent="0.25">
      <c r="A41" s="2">
        <v>40</v>
      </c>
      <c r="B41" s="3" t="s">
        <v>141</v>
      </c>
      <c r="C41" s="3" t="s">
        <v>142</v>
      </c>
      <c r="D41" s="3" t="s">
        <v>143</v>
      </c>
      <c r="E41" s="3" t="s">
        <v>144</v>
      </c>
    </row>
    <row r="42" spans="1:5" ht="25.5" x14ac:dyDescent="0.25">
      <c r="A42" s="2">
        <v>41</v>
      </c>
      <c r="B42" s="3" t="s">
        <v>145</v>
      </c>
      <c r="C42" s="3" t="s">
        <v>146</v>
      </c>
      <c r="D42" s="3" t="s">
        <v>147</v>
      </c>
      <c r="E42" s="3" t="s">
        <v>148</v>
      </c>
    </row>
    <row r="43" spans="1:5" x14ac:dyDescent="0.25">
      <c r="A43" s="2">
        <v>42</v>
      </c>
      <c r="B43" s="3" t="s">
        <v>149</v>
      </c>
      <c r="C43" s="3" t="s">
        <v>150</v>
      </c>
      <c r="D43" s="3" t="s">
        <v>151</v>
      </c>
      <c r="E43" s="3" t="s">
        <v>80</v>
      </c>
    </row>
    <row r="44" spans="1:5" x14ac:dyDescent="0.25">
      <c r="A44" s="2">
        <v>43</v>
      </c>
      <c r="B44" s="3" t="s">
        <v>141</v>
      </c>
      <c r="C44" s="3" t="s">
        <v>152</v>
      </c>
      <c r="D44" s="3" t="s">
        <v>143</v>
      </c>
      <c r="E44" s="3" t="s">
        <v>153</v>
      </c>
    </row>
    <row r="45" spans="1:5" ht="25.5" x14ac:dyDescent="0.25">
      <c r="A45" s="2">
        <v>44</v>
      </c>
      <c r="B45" s="3" t="s">
        <v>145</v>
      </c>
      <c r="C45" s="3" t="s">
        <v>116</v>
      </c>
      <c r="D45" s="3" t="s">
        <v>117</v>
      </c>
      <c r="E45" s="3" t="s">
        <v>118</v>
      </c>
    </row>
    <row r="46" spans="1:5" ht="25.5" x14ac:dyDescent="0.25">
      <c r="A46" s="2">
        <v>45</v>
      </c>
      <c r="B46" s="3" t="s">
        <v>115</v>
      </c>
      <c r="C46" s="3" t="s">
        <v>146</v>
      </c>
      <c r="D46" s="3" t="s">
        <v>147</v>
      </c>
      <c r="E46" s="3" t="s">
        <v>148</v>
      </c>
    </row>
    <row r="47" spans="1:5" ht="25.5" x14ac:dyDescent="0.25">
      <c r="A47" s="2">
        <v>46</v>
      </c>
      <c r="B47" s="3" t="s">
        <v>154</v>
      </c>
      <c r="C47" s="3" t="s">
        <v>155</v>
      </c>
      <c r="D47" s="3" t="s">
        <v>156</v>
      </c>
      <c r="E47" s="3" t="s">
        <v>157</v>
      </c>
    </row>
    <row r="48" spans="1:5" ht="25.5" x14ac:dyDescent="0.25">
      <c r="A48" s="2">
        <v>47</v>
      </c>
      <c r="B48" s="3" t="s">
        <v>105</v>
      </c>
      <c r="C48" s="3" t="s">
        <v>158</v>
      </c>
      <c r="D48" s="3" t="s">
        <v>159</v>
      </c>
      <c r="E48" s="3" t="s">
        <v>160</v>
      </c>
    </row>
    <row r="49" spans="1:5" x14ac:dyDescent="0.25">
      <c r="A49" s="2">
        <v>48</v>
      </c>
      <c r="B49" s="3" t="s">
        <v>36</v>
      </c>
      <c r="C49" s="3" t="s">
        <v>18</v>
      </c>
      <c r="D49" s="3" t="s">
        <v>161</v>
      </c>
      <c r="E49" s="3" t="s">
        <v>162</v>
      </c>
    </row>
    <row r="50" spans="1:5" x14ac:dyDescent="0.25">
      <c r="A50" s="2">
        <v>49</v>
      </c>
      <c r="B50" s="3" t="s">
        <v>163</v>
      </c>
      <c r="C50" s="3" t="s">
        <v>51</v>
      </c>
      <c r="D50" s="3" t="s">
        <v>164</v>
      </c>
      <c r="E50" s="3" t="s">
        <v>32</v>
      </c>
    </row>
    <row r="51" spans="1:5" ht="25.5" x14ac:dyDescent="0.25">
      <c r="A51" s="2">
        <v>50</v>
      </c>
      <c r="B51" s="3" t="s">
        <v>165</v>
      </c>
      <c r="C51" s="3" t="s">
        <v>166</v>
      </c>
      <c r="D51" s="3" t="s">
        <v>167</v>
      </c>
      <c r="E51" s="3" t="s">
        <v>168</v>
      </c>
    </row>
    <row r="52" spans="1:5" ht="25.5" x14ac:dyDescent="0.25">
      <c r="A52" s="2">
        <v>51</v>
      </c>
      <c r="B52" s="3" t="s">
        <v>169</v>
      </c>
      <c r="C52" s="3" t="s">
        <v>170</v>
      </c>
      <c r="D52" s="3" t="s">
        <v>171</v>
      </c>
      <c r="E52" s="3" t="s">
        <v>53</v>
      </c>
    </row>
    <row r="53" spans="1:5" x14ac:dyDescent="0.25">
      <c r="A53" s="2">
        <v>52</v>
      </c>
      <c r="B53" s="3" t="s">
        <v>172</v>
      </c>
      <c r="C53" s="3" t="s">
        <v>78</v>
      </c>
      <c r="D53" s="3" t="s">
        <v>173</v>
      </c>
      <c r="E53" s="3" t="s">
        <v>32</v>
      </c>
    </row>
    <row r="54" spans="1:5" ht="25.5" x14ac:dyDescent="0.25">
      <c r="A54" s="2">
        <v>53</v>
      </c>
      <c r="B54" s="3" t="s">
        <v>174</v>
      </c>
      <c r="C54" s="3" t="s">
        <v>40</v>
      </c>
      <c r="D54" s="3" t="s">
        <v>175</v>
      </c>
      <c r="E54" s="3" t="s">
        <v>176</v>
      </c>
    </row>
    <row r="55" spans="1:5" ht="25.5" x14ac:dyDescent="0.25">
      <c r="A55" s="2">
        <v>54</v>
      </c>
      <c r="B55" s="3" t="s">
        <v>174</v>
      </c>
      <c r="C55" s="3" t="s">
        <v>91</v>
      </c>
      <c r="D55" s="3" t="s">
        <v>177</v>
      </c>
      <c r="E55" s="3" t="s">
        <v>178</v>
      </c>
    </row>
    <row r="56" spans="1:5" ht="25.5" x14ac:dyDescent="0.25">
      <c r="A56" s="2">
        <v>55</v>
      </c>
      <c r="B56" s="3" t="s">
        <v>179</v>
      </c>
      <c r="C56" s="3" t="s">
        <v>180</v>
      </c>
      <c r="D56" s="3" t="s">
        <v>181</v>
      </c>
      <c r="E56" s="3" t="s">
        <v>182</v>
      </c>
    </row>
    <row r="57" spans="1:5" ht="25.5" x14ac:dyDescent="0.25">
      <c r="A57" s="2">
        <v>56</v>
      </c>
      <c r="B57" s="3" t="s">
        <v>183</v>
      </c>
      <c r="C57" s="3" t="s">
        <v>184</v>
      </c>
      <c r="D57" s="3" t="s">
        <v>185</v>
      </c>
      <c r="E57" s="3" t="s">
        <v>186</v>
      </c>
    </row>
    <row r="58" spans="1:5" ht="25.5" x14ac:dyDescent="0.25">
      <c r="A58" s="2">
        <v>57</v>
      </c>
      <c r="B58" s="3" t="s">
        <v>187</v>
      </c>
      <c r="C58" s="3" t="s">
        <v>91</v>
      </c>
      <c r="D58" s="3" t="s">
        <v>188</v>
      </c>
      <c r="E58" s="3" t="s">
        <v>189</v>
      </c>
    </row>
    <row r="59" spans="1:5" x14ac:dyDescent="0.25">
      <c r="A59" s="2">
        <v>58</v>
      </c>
      <c r="B59" s="3" t="s">
        <v>190</v>
      </c>
      <c r="C59" s="3" t="s">
        <v>191</v>
      </c>
      <c r="D59" s="3" t="s">
        <v>192</v>
      </c>
      <c r="E59" s="3" t="s">
        <v>32</v>
      </c>
    </row>
    <row r="60" spans="1:5" x14ac:dyDescent="0.25">
      <c r="A60" s="2">
        <v>59</v>
      </c>
      <c r="B60" s="3" t="s">
        <v>46</v>
      </c>
      <c r="C60" s="3" t="s">
        <v>193</v>
      </c>
      <c r="D60" s="3" t="s">
        <v>194</v>
      </c>
      <c r="E60" s="3" t="s">
        <v>195</v>
      </c>
    </row>
    <row r="61" spans="1:5" x14ac:dyDescent="0.25">
      <c r="A61" s="2">
        <v>60</v>
      </c>
      <c r="B61" s="3" t="s">
        <v>196</v>
      </c>
      <c r="C61" s="3" t="s">
        <v>51</v>
      </c>
      <c r="D61" s="3" t="s">
        <v>197</v>
      </c>
      <c r="E61" s="3" t="s">
        <v>198</v>
      </c>
    </row>
    <row r="62" spans="1:5" ht="25.5" x14ac:dyDescent="0.25">
      <c r="A62" s="2">
        <v>61</v>
      </c>
      <c r="B62" s="3" t="s">
        <v>199</v>
      </c>
      <c r="C62" s="3" t="s">
        <v>184</v>
      </c>
      <c r="D62" s="3" t="s">
        <v>200</v>
      </c>
      <c r="E62" s="3" t="s">
        <v>32</v>
      </c>
    </row>
    <row r="63" spans="1:5" x14ac:dyDescent="0.25">
      <c r="A63" s="2">
        <v>62</v>
      </c>
      <c r="B63" s="3" t="s">
        <v>201</v>
      </c>
      <c r="C63" s="3" t="s">
        <v>202</v>
      </c>
      <c r="D63" s="3" t="s">
        <v>203</v>
      </c>
      <c r="E63" s="3" t="s">
        <v>42</v>
      </c>
    </row>
    <row r="64" spans="1:5" x14ac:dyDescent="0.25">
      <c r="A64" s="2">
        <v>63</v>
      </c>
      <c r="B64" s="3" t="s">
        <v>163</v>
      </c>
      <c r="C64" s="3" t="s">
        <v>204</v>
      </c>
      <c r="D64" s="3" t="s">
        <v>205</v>
      </c>
      <c r="E64" s="3" t="s">
        <v>206</v>
      </c>
    </row>
    <row r="65" spans="1:5" x14ac:dyDescent="0.25">
      <c r="A65" s="2">
        <v>64</v>
      </c>
      <c r="B65" s="3" t="s">
        <v>207</v>
      </c>
      <c r="C65" s="3" t="s">
        <v>208</v>
      </c>
      <c r="D65" s="3" t="s">
        <v>209</v>
      </c>
      <c r="E65" s="3" t="s">
        <v>210</v>
      </c>
    </row>
    <row r="66" spans="1:5" ht="25.5" x14ac:dyDescent="0.25">
      <c r="A66" s="2">
        <v>65</v>
      </c>
      <c r="B66" s="3" t="s">
        <v>211</v>
      </c>
      <c r="C66" s="3" t="s">
        <v>212</v>
      </c>
      <c r="D66" s="3" t="s">
        <v>213</v>
      </c>
      <c r="E66" s="3" t="s">
        <v>214</v>
      </c>
    </row>
    <row r="67" spans="1:5" ht="25.5" x14ac:dyDescent="0.25">
      <c r="A67" s="2">
        <v>66</v>
      </c>
      <c r="B67" s="3" t="s">
        <v>215</v>
      </c>
      <c r="C67" s="3" t="s">
        <v>216</v>
      </c>
      <c r="D67" s="3" t="s">
        <v>217</v>
      </c>
      <c r="E67" s="3" t="s">
        <v>218</v>
      </c>
    </row>
    <row r="68" spans="1:5" x14ac:dyDescent="0.25">
      <c r="A68" s="2">
        <v>67</v>
      </c>
      <c r="B68" s="3" t="s">
        <v>98</v>
      </c>
      <c r="C68" s="3" t="s">
        <v>219</v>
      </c>
      <c r="D68" s="3" t="s">
        <v>220</v>
      </c>
      <c r="E68" s="3" t="s">
        <v>221</v>
      </c>
    </row>
    <row r="69" spans="1:5" ht="25.5" x14ac:dyDescent="0.25">
      <c r="A69" s="2">
        <v>68</v>
      </c>
      <c r="B69" s="3" t="s">
        <v>222</v>
      </c>
      <c r="C69" s="3" t="s">
        <v>223</v>
      </c>
      <c r="D69" s="3" t="s">
        <v>224</v>
      </c>
      <c r="E69" s="3" t="s">
        <v>225</v>
      </c>
    </row>
    <row r="70" spans="1:5" ht="25.5" x14ac:dyDescent="0.25">
      <c r="A70" s="2">
        <v>69</v>
      </c>
      <c r="B70" s="3" t="s">
        <v>226</v>
      </c>
      <c r="C70" s="3" t="s">
        <v>227</v>
      </c>
      <c r="D70" s="3" t="s">
        <v>228</v>
      </c>
      <c r="E70" s="3" t="s">
        <v>229</v>
      </c>
    </row>
    <row r="71" spans="1:5" ht="25.5" x14ac:dyDescent="0.25">
      <c r="A71" s="2">
        <v>70</v>
      </c>
      <c r="B71" s="3" t="s">
        <v>230</v>
      </c>
      <c r="C71" s="3" t="s">
        <v>51</v>
      </c>
      <c r="D71" s="3" t="s">
        <v>231</v>
      </c>
      <c r="E71" s="3" t="s">
        <v>232</v>
      </c>
    </row>
    <row r="72" spans="1:5" ht="25.5" x14ac:dyDescent="0.25">
      <c r="A72" s="2">
        <v>71</v>
      </c>
      <c r="B72" s="3" t="s">
        <v>233</v>
      </c>
      <c r="C72" s="3" t="s">
        <v>234</v>
      </c>
      <c r="D72" s="3" t="s">
        <v>235</v>
      </c>
      <c r="E72" s="3" t="s">
        <v>236</v>
      </c>
    </row>
    <row r="73" spans="1:5" ht="25.5" x14ac:dyDescent="0.25">
      <c r="A73" s="2">
        <v>72</v>
      </c>
      <c r="B73" s="3" t="s">
        <v>237</v>
      </c>
      <c r="C73" s="3" t="s">
        <v>18</v>
      </c>
      <c r="D73" s="3" t="s">
        <v>238</v>
      </c>
      <c r="E73" s="3" t="s">
        <v>239</v>
      </c>
    </row>
    <row r="74" spans="1:5" x14ac:dyDescent="0.25">
      <c r="A74" s="2">
        <v>73</v>
      </c>
      <c r="B74" s="3" t="s">
        <v>215</v>
      </c>
      <c r="C74" s="3" t="s">
        <v>219</v>
      </c>
      <c r="D74" s="3" t="s">
        <v>240</v>
      </c>
      <c r="E74" s="3" t="s">
        <v>76</v>
      </c>
    </row>
    <row r="75" spans="1:5" ht="25.5" x14ac:dyDescent="0.25">
      <c r="A75" s="2">
        <v>74</v>
      </c>
      <c r="B75" s="3" t="s">
        <v>241</v>
      </c>
      <c r="C75" s="3" t="s">
        <v>40</v>
      </c>
      <c r="D75" s="3" t="s">
        <v>242</v>
      </c>
      <c r="E75" s="3" t="s">
        <v>243</v>
      </c>
    </row>
    <row r="76" spans="1:5" ht="25.5" x14ac:dyDescent="0.25">
      <c r="A76" s="2">
        <v>75</v>
      </c>
      <c r="B76" s="3" t="s">
        <v>244</v>
      </c>
      <c r="C76" s="3" t="s">
        <v>227</v>
      </c>
      <c r="D76" s="3" t="s">
        <v>228</v>
      </c>
      <c r="E76" s="3" t="s">
        <v>229</v>
      </c>
    </row>
    <row r="77" spans="1:5" ht="25.5" x14ac:dyDescent="0.25">
      <c r="A77" s="2">
        <v>76</v>
      </c>
      <c r="B77" s="3" t="s">
        <v>245</v>
      </c>
      <c r="C77" s="3" t="s">
        <v>246</v>
      </c>
      <c r="D77" s="3" t="s">
        <v>247</v>
      </c>
      <c r="E77" s="3" t="s">
        <v>248</v>
      </c>
    </row>
    <row r="78" spans="1:5" ht="25.5" x14ac:dyDescent="0.25">
      <c r="A78" s="2">
        <v>77</v>
      </c>
      <c r="B78" s="3" t="s">
        <v>249</v>
      </c>
      <c r="C78" s="3" t="s">
        <v>250</v>
      </c>
      <c r="D78" s="3" t="s">
        <v>251</v>
      </c>
      <c r="E78" s="3" t="s">
        <v>101</v>
      </c>
    </row>
    <row r="79" spans="1:5" ht="25.5" x14ac:dyDescent="0.25">
      <c r="A79" s="2">
        <v>78</v>
      </c>
      <c r="B79" s="3" t="s">
        <v>252</v>
      </c>
      <c r="C79" s="3" t="s">
        <v>253</v>
      </c>
      <c r="D79" s="3" t="s">
        <v>254</v>
      </c>
      <c r="E79" s="3" t="s">
        <v>255</v>
      </c>
    </row>
    <row r="80" spans="1:5" ht="25.5" x14ac:dyDescent="0.25">
      <c r="A80" s="2">
        <v>79</v>
      </c>
      <c r="B80" s="3" t="s">
        <v>241</v>
      </c>
      <c r="C80" s="3" t="s">
        <v>184</v>
      </c>
      <c r="D80" s="3" t="s">
        <v>242</v>
      </c>
      <c r="E80" s="3" t="s">
        <v>243</v>
      </c>
    </row>
    <row r="81" spans="1:5" ht="25.5" x14ac:dyDescent="0.25">
      <c r="A81" s="2">
        <v>80</v>
      </c>
      <c r="B81" s="3" t="s">
        <v>256</v>
      </c>
      <c r="C81" s="3" t="s">
        <v>257</v>
      </c>
      <c r="D81" s="3" t="s">
        <v>258</v>
      </c>
      <c r="E81" s="3" t="s">
        <v>259</v>
      </c>
    </row>
    <row r="82" spans="1:5" ht="25.5" x14ac:dyDescent="0.25">
      <c r="A82" s="2">
        <v>81</v>
      </c>
      <c r="B82" s="3" t="s">
        <v>260</v>
      </c>
      <c r="C82" s="3" t="s">
        <v>91</v>
      </c>
      <c r="D82" s="3" t="s">
        <v>261</v>
      </c>
      <c r="E82" s="3" t="s">
        <v>262</v>
      </c>
    </row>
    <row r="83" spans="1:5" ht="25.5" x14ac:dyDescent="0.25">
      <c r="A83" s="2">
        <v>82</v>
      </c>
      <c r="B83" s="3" t="s">
        <v>263</v>
      </c>
      <c r="C83" s="3" t="s">
        <v>264</v>
      </c>
      <c r="D83" s="3" t="s">
        <v>265</v>
      </c>
      <c r="E83" s="3" t="s">
        <v>266</v>
      </c>
    </row>
    <row r="84" spans="1:5" ht="25.5" x14ac:dyDescent="0.25">
      <c r="A84" s="2">
        <v>83</v>
      </c>
      <c r="B84" s="3" t="s">
        <v>267</v>
      </c>
      <c r="C84" s="3" t="s">
        <v>268</v>
      </c>
      <c r="D84" s="3" t="s">
        <v>269</v>
      </c>
      <c r="E84" s="3" t="s">
        <v>270</v>
      </c>
    </row>
  </sheetData>
  <autoFilter ref="A1:E84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abSelected="1" zoomScaleNormal="100" workbookViewId="0">
      <pane ySplit="1" topLeftCell="A2" activePane="bottomLeft" state="frozen"/>
      <selection pane="bottomLeft" activeCell="F10" sqref="F10"/>
    </sheetView>
  </sheetViews>
  <sheetFormatPr defaultColWidth="8.7109375" defaultRowHeight="15" x14ac:dyDescent="0.25"/>
  <cols>
    <col min="1" max="1" width="6" customWidth="1"/>
    <col min="2" max="2" width="36" customWidth="1"/>
    <col min="3" max="4" width="18" customWidth="1"/>
  </cols>
  <sheetData>
    <row r="1" spans="1:4" ht="25.5" x14ac:dyDescent="0.25">
      <c r="A1" s="1" t="s">
        <v>0</v>
      </c>
      <c r="B1" s="1" t="s">
        <v>271</v>
      </c>
      <c r="C1" s="1" t="s">
        <v>272</v>
      </c>
      <c r="D1" s="1" t="s">
        <v>273</v>
      </c>
    </row>
    <row r="2" spans="1:4" x14ac:dyDescent="0.25">
      <c r="A2" s="4">
        <v>1</v>
      </c>
      <c r="B2" s="5" t="s">
        <v>274</v>
      </c>
      <c r="C2" s="4">
        <f>SUMPRODUCT(--ISNUMBER(SEARCH(", "&amp;$B2&amp;",",", "&amp;'Hasil Ekstraksi'!$D$2:$D$84&amp;",")))</f>
        <v>42</v>
      </c>
      <c r="D2" s="6">
        <f>C2/COUNTA('Hasil Ekstraksi'!$A$2:$A$84)</f>
        <v>0.50602409638554213</v>
      </c>
    </row>
    <row r="3" spans="1:4" x14ac:dyDescent="0.25">
      <c r="A3" s="4">
        <v>2</v>
      </c>
      <c r="B3" s="5" t="s">
        <v>275</v>
      </c>
      <c r="C3" s="4">
        <f>SUMPRODUCT(--ISNUMBER(SEARCH(", "&amp;$B3&amp;",",", "&amp;'Hasil Ekstraksi'!$D$2:$D$84&amp;",")))</f>
        <v>34</v>
      </c>
      <c r="D3" s="6">
        <f>C3/COUNTA('Hasil Ekstraksi'!$A$2:$A$84)</f>
        <v>0.40963855421686746</v>
      </c>
    </row>
    <row r="4" spans="1:4" x14ac:dyDescent="0.25">
      <c r="A4" s="4">
        <v>3</v>
      </c>
      <c r="B4" s="5" t="s">
        <v>276</v>
      </c>
      <c r="C4" s="4">
        <f>SUMPRODUCT(--ISNUMBER(SEARCH(", "&amp;$B4&amp;",",", "&amp;'Hasil Ekstraksi'!$D$2:$D$84&amp;",")))</f>
        <v>25</v>
      </c>
      <c r="D4" s="6">
        <f>C4/COUNTA('Hasil Ekstraksi'!$A$2:$A$84)</f>
        <v>0.30120481927710846</v>
      </c>
    </row>
    <row r="5" spans="1:4" x14ac:dyDescent="0.25">
      <c r="A5" s="4">
        <v>4</v>
      </c>
      <c r="B5" s="5" t="s">
        <v>277</v>
      </c>
      <c r="C5" s="4">
        <f>SUMPRODUCT(--ISNUMBER(SEARCH(", "&amp;$B5&amp;",",", "&amp;'Hasil Ekstraksi'!$D$2:$D$84&amp;",")))</f>
        <v>24</v>
      </c>
      <c r="D5" s="6">
        <f>C5/COUNTA('Hasil Ekstraksi'!$A$2:$A$84)</f>
        <v>0.28915662650602408</v>
      </c>
    </row>
    <row r="6" spans="1:4" x14ac:dyDescent="0.25">
      <c r="A6" s="4">
        <v>5</v>
      </c>
      <c r="B6" s="5" t="s">
        <v>278</v>
      </c>
      <c r="C6" s="4">
        <f>SUMPRODUCT(--ISNUMBER(SEARCH(", "&amp;$B6&amp;",",", "&amp;'Hasil Ekstraksi'!$D$2:$D$84&amp;",")))</f>
        <v>23</v>
      </c>
      <c r="D6" s="6">
        <f>C6/COUNTA('Hasil Ekstraksi'!$A$2:$A$84)</f>
        <v>0.27710843373493976</v>
      </c>
    </row>
    <row r="7" spans="1:4" x14ac:dyDescent="0.25">
      <c r="A7" s="4">
        <v>6</v>
      </c>
      <c r="B7" s="5" t="s">
        <v>279</v>
      </c>
      <c r="C7" s="4">
        <f>SUMPRODUCT(--ISNUMBER(SEARCH(", "&amp;$B7&amp;",",", "&amp;'Hasil Ekstraksi'!$D$2:$D$84&amp;",")))</f>
        <v>23</v>
      </c>
      <c r="D7" s="6">
        <f>C7/COUNTA('Hasil Ekstraksi'!$A$2:$A$84)</f>
        <v>0.27710843373493976</v>
      </c>
    </row>
    <row r="8" spans="1:4" x14ac:dyDescent="0.25">
      <c r="A8" s="4">
        <v>7</v>
      </c>
      <c r="B8" s="5" t="s">
        <v>280</v>
      </c>
      <c r="C8" s="4">
        <f>SUMPRODUCT(--ISNUMBER(SEARCH(", "&amp;$B8&amp;",",", "&amp;'Hasil Ekstraksi'!$D$2:$D$84&amp;",")))</f>
        <v>22</v>
      </c>
      <c r="D8" s="6">
        <f>C8/COUNTA('Hasil Ekstraksi'!$A$2:$A$84)</f>
        <v>0.26506024096385544</v>
      </c>
    </row>
    <row r="9" spans="1:4" x14ac:dyDescent="0.25">
      <c r="A9" s="4">
        <v>8</v>
      </c>
      <c r="B9" s="5" t="s">
        <v>281</v>
      </c>
      <c r="C9" s="4">
        <f>SUMPRODUCT(--ISNUMBER(SEARCH(", "&amp;$B9&amp;",",", "&amp;'Hasil Ekstraksi'!$D$2:$D$84&amp;",")))</f>
        <v>22</v>
      </c>
      <c r="D9" s="6">
        <f>C9/COUNTA('Hasil Ekstraksi'!$A$2:$A$84)</f>
        <v>0.26506024096385544</v>
      </c>
    </row>
    <row r="10" spans="1:4" x14ac:dyDescent="0.25">
      <c r="A10" s="4">
        <v>9</v>
      </c>
      <c r="B10" s="5" t="s">
        <v>282</v>
      </c>
      <c r="C10" s="4">
        <f>SUMPRODUCT(--ISNUMBER(SEARCH(", "&amp;$B10&amp;",",", "&amp;'Hasil Ekstraksi'!$D$2:$D$84&amp;",")))</f>
        <v>20</v>
      </c>
      <c r="D10" s="6">
        <f>C10/COUNTA('Hasil Ekstraksi'!$A$2:$A$84)</f>
        <v>0.24096385542168675</v>
      </c>
    </row>
    <row r="11" spans="1:4" x14ac:dyDescent="0.25">
      <c r="A11" s="4">
        <v>10</v>
      </c>
      <c r="B11" s="5" t="s">
        <v>283</v>
      </c>
      <c r="C11" s="4">
        <f>SUMPRODUCT(--ISNUMBER(SEARCH(", "&amp;$B11&amp;",",", "&amp;'Hasil Ekstraksi'!$D$2:$D$84&amp;",")))</f>
        <v>18</v>
      </c>
      <c r="D11" s="6">
        <f>C11/COUNTA('Hasil Ekstraksi'!$A$2:$A$84)</f>
        <v>0.21686746987951808</v>
      </c>
    </row>
    <row r="12" spans="1:4" x14ac:dyDescent="0.25">
      <c r="A12" s="4">
        <v>11</v>
      </c>
      <c r="B12" s="5" t="s">
        <v>284</v>
      </c>
      <c r="C12" s="4">
        <f>SUMPRODUCT(--ISNUMBER(SEARCH(", "&amp;$B12&amp;",",", "&amp;'Hasil Ekstraksi'!$D$2:$D$84&amp;",")))</f>
        <v>17</v>
      </c>
      <c r="D12" s="6">
        <f>C12/COUNTA('Hasil Ekstraksi'!$A$2:$A$84)</f>
        <v>0.20481927710843373</v>
      </c>
    </row>
    <row r="13" spans="1:4" x14ac:dyDescent="0.25">
      <c r="A13" s="4">
        <v>12</v>
      </c>
      <c r="B13" s="5" t="s">
        <v>285</v>
      </c>
      <c r="C13" s="4">
        <f>SUMPRODUCT(--ISNUMBER(SEARCH(", "&amp;$B13&amp;",",", "&amp;'Hasil Ekstraksi'!$D$2:$D$84&amp;",")))</f>
        <v>15</v>
      </c>
      <c r="D13" s="6">
        <f>C13/COUNTA('Hasil Ekstraksi'!$A$2:$A$84)</f>
        <v>0.18072289156626506</v>
      </c>
    </row>
    <row r="14" spans="1:4" x14ac:dyDescent="0.25">
      <c r="A14" s="4">
        <v>13</v>
      </c>
      <c r="B14" s="5" t="s">
        <v>286</v>
      </c>
      <c r="C14" s="4">
        <f>SUMPRODUCT(--ISNUMBER(SEARCH(", "&amp;$B14&amp;",",", "&amp;'Hasil Ekstraksi'!$D$2:$D$84&amp;",")))</f>
        <v>15</v>
      </c>
      <c r="D14" s="6">
        <f>C14/COUNTA('Hasil Ekstraksi'!$A$2:$A$84)</f>
        <v>0.18072289156626506</v>
      </c>
    </row>
    <row r="15" spans="1:4" x14ac:dyDescent="0.25">
      <c r="A15" s="4">
        <v>14</v>
      </c>
      <c r="B15" s="5" t="s">
        <v>287</v>
      </c>
      <c r="C15" s="4">
        <f>SUMPRODUCT(--ISNUMBER(SEARCH(", "&amp;$B15&amp;",",", "&amp;'Hasil Ekstraksi'!$D$2:$D$84&amp;",")))</f>
        <v>14</v>
      </c>
      <c r="D15" s="6">
        <f>C15/COUNTA('Hasil Ekstraksi'!$A$2:$A$84)</f>
        <v>0.16867469879518071</v>
      </c>
    </row>
    <row r="16" spans="1:4" x14ac:dyDescent="0.25">
      <c r="A16" s="4">
        <v>15</v>
      </c>
      <c r="B16" s="5" t="s">
        <v>288</v>
      </c>
      <c r="C16" s="4">
        <f>SUMPRODUCT(--ISNUMBER(SEARCH(", "&amp;$B16&amp;",",", "&amp;'Hasil Ekstraksi'!$D$2:$D$84&amp;",")))</f>
        <v>13</v>
      </c>
      <c r="D16" s="6">
        <f>C16/COUNTA('Hasil Ekstraksi'!$A$2:$A$84)</f>
        <v>0.15662650602409639</v>
      </c>
    </row>
    <row r="17" spans="1:4" x14ac:dyDescent="0.25">
      <c r="A17" s="4">
        <v>16</v>
      </c>
      <c r="B17" s="5" t="s">
        <v>289</v>
      </c>
      <c r="C17" s="4">
        <f>SUMPRODUCT(--ISNUMBER(SEARCH(", "&amp;$B17&amp;",",", "&amp;'Hasil Ekstraksi'!$D$2:$D$84&amp;",")))</f>
        <v>13</v>
      </c>
      <c r="D17" s="6">
        <f>C17/COUNTA('Hasil Ekstraksi'!$A$2:$A$84)</f>
        <v>0.15662650602409639</v>
      </c>
    </row>
    <row r="18" spans="1:4" x14ac:dyDescent="0.25">
      <c r="A18" s="4">
        <v>17</v>
      </c>
      <c r="B18" s="5" t="s">
        <v>290</v>
      </c>
      <c r="C18" s="4">
        <f>SUMPRODUCT(--ISNUMBER(SEARCH(", "&amp;$B18&amp;",",", "&amp;'Hasil Ekstraksi'!$D$2:$D$84&amp;",")))</f>
        <v>10</v>
      </c>
      <c r="D18" s="6">
        <f>C18/COUNTA('Hasil Ekstraksi'!$A$2:$A$84)</f>
        <v>0.12048192771084337</v>
      </c>
    </row>
    <row r="19" spans="1:4" x14ac:dyDescent="0.25">
      <c r="A19" s="4">
        <v>18</v>
      </c>
      <c r="B19" s="5" t="s">
        <v>291</v>
      </c>
      <c r="C19" s="4">
        <f>SUMPRODUCT(--ISNUMBER(SEARCH(", "&amp;$B19&amp;",",", "&amp;'Hasil Ekstraksi'!$D$2:$D$84&amp;",")))</f>
        <v>10</v>
      </c>
      <c r="D19" s="6">
        <f>C19/COUNTA('Hasil Ekstraksi'!$A$2:$A$84)</f>
        <v>0.12048192771084337</v>
      </c>
    </row>
    <row r="20" spans="1:4" x14ac:dyDescent="0.25">
      <c r="A20" s="4">
        <v>19</v>
      </c>
      <c r="B20" s="5" t="s">
        <v>292</v>
      </c>
      <c r="C20" s="4">
        <f>SUMPRODUCT(--ISNUMBER(SEARCH(", "&amp;$B20&amp;",",", "&amp;'Hasil Ekstraksi'!$D$2:$D$84&amp;",")))</f>
        <v>9</v>
      </c>
      <c r="D20" s="6">
        <f>C20/COUNTA('Hasil Ekstraksi'!$A$2:$A$84)</f>
        <v>0.10843373493975904</v>
      </c>
    </row>
    <row r="21" spans="1:4" x14ac:dyDescent="0.25">
      <c r="A21" s="4">
        <v>20</v>
      </c>
      <c r="B21" s="5" t="s">
        <v>293</v>
      </c>
      <c r="C21" s="4">
        <f>SUMPRODUCT(--ISNUMBER(SEARCH(", "&amp;$B21&amp;",",", "&amp;'Hasil Ekstraksi'!$D$2:$D$84&amp;",")))</f>
        <v>9</v>
      </c>
      <c r="D21" s="6">
        <f>C21/COUNTA('Hasil Ekstraksi'!$A$2:$A$84)</f>
        <v>0.10843373493975904</v>
      </c>
    </row>
    <row r="22" spans="1:4" x14ac:dyDescent="0.25">
      <c r="A22" s="4">
        <v>21</v>
      </c>
      <c r="B22" s="5" t="s">
        <v>294</v>
      </c>
      <c r="C22" s="4">
        <f>SUMPRODUCT(--ISNUMBER(SEARCH(", "&amp;$B22&amp;",",", "&amp;'Hasil Ekstraksi'!$D$2:$D$84&amp;",")))</f>
        <v>8</v>
      </c>
      <c r="D22" s="6">
        <f>C22/COUNTA('Hasil Ekstraksi'!$A$2:$A$84)</f>
        <v>9.6385542168674704E-2</v>
      </c>
    </row>
    <row r="23" spans="1:4" x14ac:dyDescent="0.25">
      <c r="A23" s="4">
        <v>22</v>
      </c>
      <c r="B23" s="5" t="s">
        <v>295</v>
      </c>
      <c r="C23" s="4">
        <f>SUMPRODUCT(--ISNUMBER(SEARCH(", "&amp;$B23&amp;",",", "&amp;'Hasil Ekstraksi'!$D$2:$D$84&amp;",")))</f>
        <v>8</v>
      </c>
      <c r="D23" s="6">
        <f>C23/COUNTA('Hasil Ekstraksi'!$A$2:$A$84)</f>
        <v>9.6385542168674704E-2</v>
      </c>
    </row>
    <row r="24" spans="1:4" x14ac:dyDescent="0.25">
      <c r="A24" s="4">
        <v>23</v>
      </c>
      <c r="B24" s="5" t="s">
        <v>296</v>
      </c>
      <c r="C24" s="4">
        <f>SUMPRODUCT(--ISNUMBER(SEARCH(", "&amp;$B24&amp;",",", "&amp;'Hasil Ekstraksi'!$D$2:$D$84&amp;",")))</f>
        <v>8</v>
      </c>
      <c r="D24" s="6">
        <f>C24/COUNTA('Hasil Ekstraksi'!$A$2:$A$84)</f>
        <v>9.6385542168674704E-2</v>
      </c>
    </row>
    <row r="25" spans="1:4" x14ac:dyDescent="0.25">
      <c r="A25" s="4">
        <v>24</v>
      </c>
      <c r="B25" s="5" t="s">
        <v>297</v>
      </c>
      <c r="C25" s="4">
        <f>SUMPRODUCT(--ISNUMBER(SEARCH(", "&amp;$B25&amp;",",", "&amp;'Hasil Ekstraksi'!$D$2:$D$84&amp;",")))</f>
        <v>8</v>
      </c>
      <c r="D25" s="6">
        <f>C25/COUNTA('Hasil Ekstraksi'!$A$2:$A$84)</f>
        <v>9.6385542168674704E-2</v>
      </c>
    </row>
    <row r="26" spans="1:4" x14ac:dyDescent="0.25">
      <c r="A26" s="4">
        <v>25</v>
      </c>
      <c r="B26" s="5" t="s">
        <v>298</v>
      </c>
      <c r="C26" s="4">
        <f>SUMPRODUCT(--ISNUMBER(SEARCH(", "&amp;$B26&amp;",",", "&amp;'Hasil Ekstraksi'!$D$2:$D$84&amp;",")))</f>
        <v>8</v>
      </c>
      <c r="D26" s="6">
        <f>C26/COUNTA('Hasil Ekstraksi'!$A$2:$A$84)</f>
        <v>9.6385542168674704E-2</v>
      </c>
    </row>
    <row r="27" spans="1:4" x14ac:dyDescent="0.25">
      <c r="A27" s="4">
        <v>26</v>
      </c>
      <c r="B27" s="5" t="s">
        <v>299</v>
      </c>
      <c r="C27" s="4">
        <f>SUMPRODUCT(--ISNUMBER(SEARCH(", "&amp;$B27&amp;",",", "&amp;'Hasil Ekstraksi'!$D$2:$D$84&amp;",")))</f>
        <v>8</v>
      </c>
      <c r="D27" s="6">
        <f>C27/COUNTA('Hasil Ekstraksi'!$A$2:$A$84)</f>
        <v>9.6385542168674704E-2</v>
      </c>
    </row>
    <row r="28" spans="1:4" x14ac:dyDescent="0.25">
      <c r="A28" s="4">
        <v>27</v>
      </c>
      <c r="B28" s="5" t="s">
        <v>300</v>
      </c>
      <c r="C28" s="4">
        <f>SUMPRODUCT(--ISNUMBER(SEARCH(", "&amp;$B28&amp;",",", "&amp;'Hasil Ekstraksi'!$D$2:$D$84&amp;",")))</f>
        <v>8</v>
      </c>
      <c r="D28" s="6">
        <f>C28/COUNTA('Hasil Ekstraksi'!$A$2:$A$84)</f>
        <v>9.6385542168674704E-2</v>
      </c>
    </row>
    <row r="29" spans="1:4" x14ac:dyDescent="0.25">
      <c r="A29" s="4">
        <v>28</v>
      </c>
      <c r="B29" s="5" t="s">
        <v>301</v>
      </c>
      <c r="C29" s="4">
        <f>SUMPRODUCT(--ISNUMBER(SEARCH(", "&amp;$B29&amp;",",", "&amp;'Hasil Ekstraksi'!$D$2:$D$84&amp;",")))</f>
        <v>7</v>
      </c>
      <c r="D29" s="6">
        <f>C29/COUNTA('Hasil Ekstraksi'!$A$2:$A$84)</f>
        <v>8.4337349397590355E-2</v>
      </c>
    </row>
    <row r="30" spans="1:4" x14ac:dyDescent="0.25">
      <c r="A30" s="4">
        <v>29</v>
      </c>
      <c r="B30" s="5" t="s">
        <v>302</v>
      </c>
      <c r="C30" s="4">
        <f>SUMPRODUCT(--ISNUMBER(SEARCH(", "&amp;$B30&amp;",",", "&amp;'Hasil Ekstraksi'!$D$2:$D$84&amp;",")))</f>
        <v>6</v>
      </c>
      <c r="D30" s="6">
        <f>C30/COUNTA('Hasil Ekstraksi'!$A$2:$A$84)</f>
        <v>7.2289156626506021E-2</v>
      </c>
    </row>
    <row r="31" spans="1:4" x14ac:dyDescent="0.25">
      <c r="A31" s="4">
        <v>30</v>
      </c>
      <c r="B31" s="5" t="s">
        <v>303</v>
      </c>
      <c r="C31" s="4">
        <f>SUMPRODUCT(--ISNUMBER(SEARCH(", "&amp;$B31&amp;",",", "&amp;'Hasil Ekstraksi'!$D$2:$D$84&amp;",")))</f>
        <v>6</v>
      </c>
      <c r="D31" s="6">
        <f>C31/COUNTA('Hasil Ekstraksi'!$A$2:$A$84)</f>
        <v>7.2289156626506021E-2</v>
      </c>
    </row>
    <row r="32" spans="1:4" x14ac:dyDescent="0.25">
      <c r="A32" s="4">
        <v>31</v>
      </c>
      <c r="B32" s="5" t="s">
        <v>304</v>
      </c>
      <c r="C32" s="4">
        <f>SUMPRODUCT(--ISNUMBER(SEARCH(", "&amp;$B32&amp;",",", "&amp;'Hasil Ekstraksi'!$D$2:$D$84&amp;",")))</f>
        <v>6</v>
      </c>
      <c r="D32" s="6">
        <f>C32/COUNTA('Hasil Ekstraksi'!$A$2:$A$84)</f>
        <v>7.2289156626506021E-2</v>
      </c>
    </row>
    <row r="33" spans="1:4" x14ac:dyDescent="0.25">
      <c r="A33" s="4">
        <v>32</v>
      </c>
      <c r="B33" s="5" t="s">
        <v>305</v>
      </c>
      <c r="C33" s="4">
        <f>SUMPRODUCT(--ISNUMBER(SEARCH(", "&amp;$B33&amp;",",", "&amp;'Hasil Ekstraksi'!$D$2:$D$84&amp;",")))</f>
        <v>6</v>
      </c>
      <c r="D33" s="6">
        <f>C33/COUNTA('Hasil Ekstraksi'!$A$2:$A$84)</f>
        <v>7.2289156626506021E-2</v>
      </c>
    </row>
    <row r="34" spans="1:4" x14ac:dyDescent="0.25">
      <c r="A34" s="4">
        <v>33</v>
      </c>
      <c r="B34" s="5" t="s">
        <v>306</v>
      </c>
      <c r="C34" s="4">
        <f>SUMPRODUCT(--ISNUMBER(SEARCH(", "&amp;$B34&amp;",",", "&amp;'Hasil Ekstraksi'!$D$2:$D$84&amp;",")))</f>
        <v>5</v>
      </c>
      <c r="D34" s="6">
        <f>C34/COUNTA('Hasil Ekstraksi'!$A$2:$A$84)</f>
        <v>6.0240963855421686E-2</v>
      </c>
    </row>
    <row r="35" spans="1:4" x14ac:dyDescent="0.25">
      <c r="A35" s="4">
        <v>34</v>
      </c>
      <c r="B35" s="5" t="s">
        <v>307</v>
      </c>
      <c r="C35" s="4">
        <f>SUMPRODUCT(--ISNUMBER(SEARCH(", "&amp;$B35&amp;",",", "&amp;'Hasil Ekstraksi'!$D$2:$D$84&amp;",")))</f>
        <v>5</v>
      </c>
      <c r="D35" s="6">
        <f>C35/COUNTA('Hasil Ekstraksi'!$A$2:$A$84)</f>
        <v>6.0240963855421686E-2</v>
      </c>
    </row>
    <row r="36" spans="1:4" x14ac:dyDescent="0.25">
      <c r="A36" s="4">
        <v>35</v>
      </c>
      <c r="B36" s="5" t="s">
        <v>308</v>
      </c>
      <c r="C36" s="4">
        <f>SUMPRODUCT(--ISNUMBER(SEARCH(", "&amp;$B36&amp;",",", "&amp;'Hasil Ekstraksi'!$D$2:$D$84&amp;",")))</f>
        <v>5</v>
      </c>
      <c r="D36" s="6">
        <f>C36/COUNTA('Hasil Ekstraksi'!$A$2:$A$84)</f>
        <v>6.0240963855421686E-2</v>
      </c>
    </row>
    <row r="37" spans="1:4" x14ac:dyDescent="0.25">
      <c r="A37" s="4">
        <v>36</v>
      </c>
      <c r="B37" s="5" t="s">
        <v>309</v>
      </c>
      <c r="C37" s="4">
        <f>SUMPRODUCT(--ISNUMBER(SEARCH(", "&amp;$B37&amp;",",", "&amp;'Hasil Ekstraksi'!$D$2:$D$84&amp;",")))</f>
        <v>5</v>
      </c>
      <c r="D37" s="6">
        <f>C37/COUNTA('Hasil Ekstraksi'!$A$2:$A$84)</f>
        <v>6.0240963855421686E-2</v>
      </c>
    </row>
    <row r="38" spans="1:4" x14ac:dyDescent="0.25">
      <c r="A38" s="4">
        <v>37</v>
      </c>
      <c r="B38" s="5" t="s">
        <v>310</v>
      </c>
      <c r="C38" s="4">
        <f>SUMPRODUCT(--ISNUMBER(SEARCH(", "&amp;$B38&amp;",",", "&amp;'Hasil Ekstraksi'!$D$2:$D$84&amp;",")))</f>
        <v>5</v>
      </c>
      <c r="D38" s="6">
        <f>C38/COUNTA('Hasil Ekstraksi'!$A$2:$A$84)</f>
        <v>6.0240963855421686E-2</v>
      </c>
    </row>
    <row r="39" spans="1:4" x14ac:dyDescent="0.25">
      <c r="A39" s="4">
        <v>38</v>
      </c>
      <c r="B39" s="5" t="s">
        <v>311</v>
      </c>
      <c r="C39" s="4">
        <f>SUMPRODUCT(--ISNUMBER(SEARCH(", "&amp;$B39&amp;",",", "&amp;'Hasil Ekstraksi'!$D$2:$D$84&amp;",")))</f>
        <v>5</v>
      </c>
      <c r="D39" s="6">
        <f>C39/COUNTA('Hasil Ekstraksi'!$A$2:$A$84)</f>
        <v>6.0240963855421686E-2</v>
      </c>
    </row>
    <row r="40" spans="1:4" x14ac:dyDescent="0.25">
      <c r="A40" s="4">
        <v>39</v>
      </c>
      <c r="B40" s="5" t="s">
        <v>312</v>
      </c>
      <c r="C40" s="4">
        <f>SUMPRODUCT(--ISNUMBER(SEARCH(", "&amp;$B40&amp;",",", "&amp;'Hasil Ekstraksi'!$D$2:$D$84&amp;",")))</f>
        <v>5</v>
      </c>
      <c r="D40" s="6">
        <f>C40/COUNTA('Hasil Ekstraksi'!$A$2:$A$84)</f>
        <v>6.0240963855421686E-2</v>
      </c>
    </row>
    <row r="41" spans="1:4" x14ac:dyDescent="0.25">
      <c r="A41" s="4">
        <v>40</v>
      </c>
      <c r="B41" s="5" t="s">
        <v>313</v>
      </c>
      <c r="C41" s="4">
        <f>SUMPRODUCT(--ISNUMBER(SEARCH(", "&amp;$B41&amp;",",", "&amp;'Hasil Ekstraksi'!$D$2:$D$84&amp;",")))</f>
        <v>4</v>
      </c>
      <c r="D41" s="6">
        <f>C41/COUNTA('Hasil Ekstraksi'!$A$2:$A$84)</f>
        <v>4.8192771084337352E-2</v>
      </c>
    </row>
    <row r="42" spans="1:4" x14ac:dyDescent="0.25">
      <c r="A42" s="4">
        <v>41</v>
      </c>
      <c r="B42" s="5" t="s">
        <v>314</v>
      </c>
      <c r="C42" s="4">
        <f>SUMPRODUCT(--ISNUMBER(SEARCH(", "&amp;$B42&amp;",",", "&amp;'Hasil Ekstraksi'!$D$2:$D$84&amp;",")))</f>
        <v>4</v>
      </c>
      <c r="D42" s="6">
        <f>C42/COUNTA('Hasil Ekstraksi'!$A$2:$A$84)</f>
        <v>4.8192771084337352E-2</v>
      </c>
    </row>
    <row r="43" spans="1:4" x14ac:dyDescent="0.25">
      <c r="A43" s="4">
        <v>42</v>
      </c>
      <c r="B43" s="5" t="s">
        <v>315</v>
      </c>
      <c r="C43" s="4">
        <f>SUMPRODUCT(--ISNUMBER(SEARCH(", "&amp;$B43&amp;",",", "&amp;'Hasil Ekstraksi'!$D$2:$D$84&amp;",")))</f>
        <v>3</v>
      </c>
      <c r="D43" s="6">
        <f>C43/COUNTA('Hasil Ekstraksi'!$A$2:$A$84)</f>
        <v>3.614457831325301E-2</v>
      </c>
    </row>
    <row r="44" spans="1:4" x14ac:dyDescent="0.25">
      <c r="A44" s="4">
        <v>43</v>
      </c>
      <c r="B44" s="5" t="s">
        <v>316</v>
      </c>
      <c r="C44" s="4">
        <f>SUMPRODUCT(--ISNUMBER(SEARCH(", "&amp;$B44&amp;",",", "&amp;'Hasil Ekstraksi'!$D$2:$D$84&amp;",")))</f>
        <v>3</v>
      </c>
      <c r="D44" s="6">
        <f>C44/COUNTA('Hasil Ekstraksi'!$A$2:$A$84)</f>
        <v>3.614457831325301E-2</v>
      </c>
    </row>
    <row r="45" spans="1:4" x14ac:dyDescent="0.25">
      <c r="A45" s="4">
        <v>44</v>
      </c>
      <c r="B45" s="5" t="s">
        <v>317</v>
      </c>
      <c r="C45" s="4">
        <f>SUMPRODUCT(--ISNUMBER(SEARCH(", "&amp;$B45&amp;",",", "&amp;'Hasil Ekstraksi'!$D$2:$D$84&amp;",")))</f>
        <v>3</v>
      </c>
      <c r="D45" s="6">
        <f>C45/COUNTA('Hasil Ekstraksi'!$A$2:$A$84)</f>
        <v>3.614457831325301E-2</v>
      </c>
    </row>
    <row r="46" spans="1:4" x14ac:dyDescent="0.25">
      <c r="A46" s="4">
        <v>45</v>
      </c>
      <c r="B46" s="5" t="s">
        <v>318</v>
      </c>
      <c r="C46" s="4">
        <f>SUMPRODUCT(--ISNUMBER(SEARCH(", "&amp;$B46&amp;",",", "&amp;'Hasil Ekstraksi'!$D$2:$D$84&amp;",")))</f>
        <v>3</v>
      </c>
      <c r="D46" s="6">
        <f>C46/COUNTA('Hasil Ekstraksi'!$A$2:$A$84)</f>
        <v>3.614457831325301E-2</v>
      </c>
    </row>
    <row r="47" spans="1:4" x14ac:dyDescent="0.25">
      <c r="A47" s="4">
        <v>46</v>
      </c>
      <c r="B47" s="5" t="s">
        <v>319</v>
      </c>
      <c r="C47" s="4">
        <f>SUMPRODUCT(--ISNUMBER(SEARCH(", "&amp;$B47&amp;",",", "&amp;'Hasil Ekstraksi'!$D$2:$D$84&amp;",")))</f>
        <v>3</v>
      </c>
      <c r="D47" s="6">
        <f>C47/COUNTA('Hasil Ekstraksi'!$A$2:$A$84)</f>
        <v>3.614457831325301E-2</v>
      </c>
    </row>
    <row r="48" spans="1:4" x14ac:dyDescent="0.25">
      <c r="A48" s="4">
        <v>47</v>
      </c>
      <c r="B48" s="5" t="s">
        <v>320</v>
      </c>
      <c r="C48" s="4">
        <f>SUMPRODUCT(--ISNUMBER(SEARCH(", "&amp;$B48&amp;",",", "&amp;'Hasil Ekstraksi'!$D$2:$D$84&amp;",")))</f>
        <v>3</v>
      </c>
      <c r="D48" s="6">
        <f>C48/COUNTA('Hasil Ekstraksi'!$A$2:$A$84)</f>
        <v>3.614457831325301E-2</v>
      </c>
    </row>
    <row r="49" spans="1:4" x14ac:dyDescent="0.25">
      <c r="A49" s="4">
        <v>48</v>
      </c>
      <c r="B49" s="5" t="s">
        <v>321</v>
      </c>
      <c r="C49" s="4">
        <f>SUMPRODUCT(--ISNUMBER(SEARCH(", "&amp;$B49&amp;",",", "&amp;'Hasil Ekstraksi'!$D$2:$D$84&amp;",")))</f>
        <v>3</v>
      </c>
      <c r="D49" s="6">
        <f>C49/COUNTA('Hasil Ekstraksi'!$A$2:$A$84)</f>
        <v>3.614457831325301E-2</v>
      </c>
    </row>
    <row r="50" spans="1:4" x14ac:dyDescent="0.25">
      <c r="A50" s="4">
        <v>49</v>
      </c>
      <c r="B50" s="5" t="s">
        <v>322</v>
      </c>
      <c r="C50" s="4">
        <f>SUMPRODUCT(--ISNUMBER(SEARCH(", "&amp;$B50&amp;",",", "&amp;'Hasil Ekstraksi'!$D$2:$D$84&amp;",")))</f>
        <v>3</v>
      </c>
      <c r="D50" s="6">
        <f>C50/COUNTA('Hasil Ekstraksi'!$A$2:$A$84)</f>
        <v>3.614457831325301E-2</v>
      </c>
    </row>
    <row r="51" spans="1:4" x14ac:dyDescent="0.25">
      <c r="A51" s="4">
        <v>50</v>
      </c>
      <c r="B51" s="5" t="s">
        <v>323</v>
      </c>
      <c r="C51" s="4">
        <f>SUMPRODUCT(--ISNUMBER(SEARCH(", "&amp;$B51&amp;",",", "&amp;'Hasil Ekstraksi'!$D$2:$D$84&amp;",")))</f>
        <v>2</v>
      </c>
      <c r="D51" s="6">
        <f>C51/COUNTA('Hasil Ekstraksi'!$A$2:$A$84)</f>
        <v>2.4096385542168676E-2</v>
      </c>
    </row>
    <row r="52" spans="1:4" x14ac:dyDescent="0.25">
      <c r="A52" s="4">
        <v>51</v>
      </c>
      <c r="B52" s="5" t="s">
        <v>324</v>
      </c>
      <c r="C52" s="4">
        <f>SUMPRODUCT(--ISNUMBER(SEARCH(", "&amp;$B52&amp;",",", "&amp;'Hasil Ekstraksi'!$D$2:$D$84&amp;",")))</f>
        <v>2</v>
      </c>
      <c r="D52" s="6">
        <f>C52/COUNTA('Hasil Ekstraksi'!$A$2:$A$84)</f>
        <v>2.4096385542168676E-2</v>
      </c>
    </row>
    <row r="53" spans="1:4" x14ac:dyDescent="0.25">
      <c r="A53" s="4">
        <v>52</v>
      </c>
      <c r="B53" s="5" t="s">
        <v>325</v>
      </c>
      <c r="C53" s="4">
        <f>SUMPRODUCT(--ISNUMBER(SEARCH(", "&amp;$B53&amp;",",", "&amp;'Hasil Ekstraksi'!$D$2:$D$84&amp;",")))</f>
        <v>2</v>
      </c>
      <c r="D53" s="6">
        <f>C53/COUNTA('Hasil Ekstraksi'!$A$2:$A$84)</f>
        <v>2.4096385542168676E-2</v>
      </c>
    </row>
    <row r="54" spans="1:4" x14ac:dyDescent="0.25">
      <c r="A54" s="4">
        <v>53</v>
      </c>
      <c r="B54" s="5" t="s">
        <v>326</v>
      </c>
      <c r="C54" s="4">
        <f>SUMPRODUCT(--ISNUMBER(SEARCH(", "&amp;$B54&amp;",",", "&amp;'Hasil Ekstraksi'!$D$2:$D$84&amp;",")))</f>
        <v>2</v>
      </c>
      <c r="D54" s="6">
        <f>C54/COUNTA('Hasil Ekstraksi'!$A$2:$A$84)</f>
        <v>2.4096385542168676E-2</v>
      </c>
    </row>
    <row r="55" spans="1:4" x14ac:dyDescent="0.25">
      <c r="A55" s="4">
        <v>54</v>
      </c>
      <c r="B55" s="5" t="s">
        <v>327</v>
      </c>
      <c r="C55" s="4">
        <f>SUMPRODUCT(--ISNUMBER(SEARCH(", "&amp;$B55&amp;",",", "&amp;'Hasil Ekstraksi'!$D$2:$D$84&amp;",")))</f>
        <v>2</v>
      </c>
      <c r="D55" s="6">
        <f>C55/COUNTA('Hasil Ekstraksi'!$A$2:$A$84)</f>
        <v>2.4096385542168676E-2</v>
      </c>
    </row>
    <row r="56" spans="1:4" x14ac:dyDescent="0.25">
      <c r="A56" s="4">
        <v>55</v>
      </c>
      <c r="B56" s="5" t="s">
        <v>328</v>
      </c>
      <c r="C56" s="4">
        <f>SUMPRODUCT(--ISNUMBER(SEARCH(", "&amp;$B56&amp;",",", "&amp;'Hasil Ekstraksi'!$D$2:$D$84&amp;",")))</f>
        <v>2</v>
      </c>
      <c r="D56" s="6">
        <f>C56/COUNTA('Hasil Ekstraksi'!$A$2:$A$84)</f>
        <v>2.4096385542168676E-2</v>
      </c>
    </row>
    <row r="57" spans="1:4" x14ac:dyDescent="0.25">
      <c r="A57" s="4">
        <v>56</v>
      </c>
      <c r="B57" s="5" t="s">
        <v>329</v>
      </c>
      <c r="C57" s="4">
        <f>SUMPRODUCT(--ISNUMBER(SEARCH(", "&amp;$B57&amp;",",", "&amp;'Hasil Ekstraksi'!$D$2:$D$84&amp;",")))</f>
        <v>1</v>
      </c>
      <c r="D57" s="6">
        <f>C57/COUNTA('Hasil Ekstraksi'!$A$2:$A$84)</f>
        <v>1.2048192771084338E-2</v>
      </c>
    </row>
    <row r="58" spans="1:4" x14ac:dyDescent="0.25">
      <c r="A58" s="4">
        <v>57</v>
      </c>
      <c r="B58" s="5" t="s">
        <v>330</v>
      </c>
      <c r="C58" s="4">
        <f>SUMPRODUCT(--ISNUMBER(SEARCH(", "&amp;$B58&amp;",",", "&amp;'Hasil Ekstraksi'!$D$2:$D$84&amp;",")))</f>
        <v>1</v>
      </c>
      <c r="D58" s="6">
        <f>C58/COUNTA('Hasil Ekstraksi'!$A$2:$A$84)</f>
        <v>1.2048192771084338E-2</v>
      </c>
    </row>
    <row r="59" spans="1:4" x14ac:dyDescent="0.25">
      <c r="A59" s="4">
        <v>58</v>
      </c>
      <c r="B59" s="5" t="s">
        <v>331</v>
      </c>
      <c r="C59" s="4">
        <f>SUMPRODUCT(--ISNUMBER(SEARCH(", "&amp;$B59&amp;",",", "&amp;'Hasil Ekstraksi'!$D$2:$D$84&amp;",")))</f>
        <v>1</v>
      </c>
      <c r="D59" s="6">
        <f>C59/COUNTA('Hasil Ekstraksi'!$A$2:$A$84)</f>
        <v>1.2048192771084338E-2</v>
      </c>
    </row>
    <row r="60" spans="1:4" x14ac:dyDescent="0.25">
      <c r="A60" s="4">
        <v>59</v>
      </c>
      <c r="B60" s="5" t="s">
        <v>332</v>
      </c>
      <c r="C60" s="4">
        <f>SUMPRODUCT(--ISNUMBER(SEARCH(", "&amp;$B60&amp;",",", "&amp;'Hasil Ekstraksi'!$D$2:$D$84&amp;",")))</f>
        <v>1</v>
      </c>
      <c r="D60" s="6">
        <f>C60/COUNTA('Hasil Ekstraksi'!$A$2:$A$84)</f>
        <v>1.2048192771084338E-2</v>
      </c>
    </row>
    <row r="62" spans="1:4" x14ac:dyDescent="0.25">
      <c r="A62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zoomScaleNormal="100" workbookViewId="0">
      <pane ySplit="1" topLeftCell="A2" activePane="bottomLeft" state="frozen"/>
      <selection pane="bottomLeft" activeCell="H11" sqref="H11"/>
    </sheetView>
  </sheetViews>
  <sheetFormatPr defaultColWidth="8.7109375" defaultRowHeight="15" x14ac:dyDescent="0.25"/>
  <cols>
    <col min="1" max="1" width="6" customWidth="1"/>
    <col min="2" max="2" width="36" customWidth="1"/>
    <col min="3" max="4" width="18" customWidth="1"/>
  </cols>
  <sheetData>
    <row r="1" spans="1:4" ht="25.5" x14ac:dyDescent="0.25">
      <c r="A1" s="1" t="s">
        <v>0</v>
      </c>
      <c r="B1" s="1" t="s">
        <v>271</v>
      </c>
      <c r="C1" s="1" t="s">
        <v>272</v>
      </c>
      <c r="D1" s="1" t="s">
        <v>273</v>
      </c>
    </row>
    <row r="2" spans="1:4" x14ac:dyDescent="0.25">
      <c r="A2" s="4">
        <v>1</v>
      </c>
      <c r="B2" s="5" t="s">
        <v>53</v>
      </c>
      <c r="C2" s="4">
        <f>SUMPRODUCT(--ISNUMBER(SEARCH(", "&amp;$B2&amp;",",", "&amp;'Hasil Ekstraksi'!$E$2:$E$84&amp;",")))</f>
        <v>42</v>
      </c>
      <c r="D2" s="6">
        <f>C2/COUNTA('Hasil Ekstraksi'!$A$2:$A$84)</f>
        <v>0.50602409638554213</v>
      </c>
    </row>
    <row r="3" spans="1:4" x14ac:dyDescent="0.25">
      <c r="A3" s="4">
        <v>2</v>
      </c>
      <c r="B3" s="5" t="s">
        <v>333</v>
      </c>
      <c r="C3" s="4">
        <f>SUMPRODUCT(--ISNUMBER(SEARCH(", "&amp;$B3&amp;",",", "&amp;'Hasil Ekstraksi'!$E$2:$E$84&amp;",")))</f>
        <v>32</v>
      </c>
      <c r="D3" s="6">
        <f>C3/COUNTA('Hasil Ekstraksi'!$A$2:$A$84)</f>
        <v>0.38554216867469882</v>
      </c>
    </row>
    <row r="4" spans="1:4" x14ac:dyDescent="0.25">
      <c r="A4" s="4">
        <v>3</v>
      </c>
      <c r="B4" s="5" t="s">
        <v>97</v>
      </c>
      <c r="C4" s="4">
        <f>SUMPRODUCT(--ISNUMBER(SEARCH(", "&amp;$B4&amp;",",", "&amp;'Hasil Ekstraksi'!$E$2:$E$84&amp;",")))</f>
        <v>31</v>
      </c>
      <c r="D4" s="6">
        <f>C4/COUNTA('Hasil Ekstraksi'!$A$2:$A$84)</f>
        <v>0.37349397590361444</v>
      </c>
    </row>
    <row r="5" spans="1:4" x14ac:dyDescent="0.25">
      <c r="A5" s="4">
        <v>4</v>
      </c>
      <c r="B5" s="5" t="s">
        <v>334</v>
      </c>
      <c r="C5" s="4">
        <f>SUMPRODUCT(--ISNUMBER(SEARCH(", "&amp;$B5&amp;",",", "&amp;'Hasil Ekstraksi'!$E$2:$E$84&amp;",")))</f>
        <v>26</v>
      </c>
      <c r="D5" s="6">
        <f>C5/COUNTA('Hasil Ekstraksi'!$A$2:$A$84)</f>
        <v>0.31325301204819278</v>
      </c>
    </row>
    <row r="6" spans="1:4" x14ac:dyDescent="0.25">
      <c r="A6" s="4">
        <v>5</v>
      </c>
      <c r="B6" s="5" t="s">
        <v>335</v>
      </c>
      <c r="C6" s="4">
        <f>SUMPRODUCT(--ISNUMBER(SEARCH(", "&amp;$B6&amp;",",", "&amp;'Hasil Ekstraksi'!$E$2:$E$84&amp;",")))</f>
        <v>23</v>
      </c>
      <c r="D6" s="6">
        <f>C6/COUNTA('Hasil Ekstraksi'!$A$2:$A$84)</f>
        <v>0.27710843373493976</v>
      </c>
    </row>
    <row r="7" spans="1:4" x14ac:dyDescent="0.25">
      <c r="A7" s="4">
        <v>6</v>
      </c>
      <c r="B7" s="5" t="s">
        <v>336</v>
      </c>
      <c r="C7" s="4">
        <f>SUMPRODUCT(--ISNUMBER(SEARCH(", "&amp;$B7&amp;",",", "&amp;'Hasil Ekstraksi'!$E$2:$E$84&amp;",")))</f>
        <v>18</v>
      </c>
      <c r="D7" s="6">
        <f>C7/COUNTA('Hasil Ekstraksi'!$A$2:$A$84)</f>
        <v>0.21686746987951808</v>
      </c>
    </row>
    <row r="8" spans="1:4" x14ac:dyDescent="0.25">
      <c r="A8" s="4">
        <v>7</v>
      </c>
      <c r="B8" s="5" t="s">
        <v>337</v>
      </c>
      <c r="C8" s="4">
        <f>SUMPRODUCT(--ISNUMBER(SEARCH(", "&amp;$B8&amp;",",", "&amp;'Hasil Ekstraksi'!$E$2:$E$84&amp;",")))</f>
        <v>14</v>
      </c>
      <c r="D8" s="6">
        <f>C8/COUNTA('Hasil Ekstraksi'!$A$2:$A$84)</f>
        <v>0.16867469879518071</v>
      </c>
    </row>
    <row r="9" spans="1:4" x14ac:dyDescent="0.25">
      <c r="A9" s="4">
        <v>8</v>
      </c>
      <c r="B9" s="5" t="s">
        <v>338</v>
      </c>
      <c r="C9" s="4">
        <f>SUMPRODUCT(--ISNUMBER(SEARCH(", "&amp;$B9&amp;",",", "&amp;'Hasil Ekstraksi'!$E$2:$E$84&amp;",")))</f>
        <v>13</v>
      </c>
      <c r="D9" s="6">
        <f>C9/COUNTA('Hasil Ekstraksi'!$A$2:$A$84)</f>
        <v>0.15662650602409639</v>
      </c>
    </row>
    <row r="10" spans="1:4" x14ac:dyDescent="0.25">
      <c r="A10" s="4">
        <v>9</v>
      </c>
      <c r="B10" s="5" t="s">
        <v>339</v>
      </c>
      <c r="C10" s="4">
        <f>SUMPRODUCT(--ISNUMBER(SEARCH(", "&amp;$B10&amp;",",", "&amp;'Hasil Ekstraksi'!$E$2:$E$84&amp;",")))</f>
        <v>12</v>
      </c>
      <c r="D10" s="6">
        <f>C10/COUNTA('Hasil Ekstraksi'!$A$2:$A$84)</f>
        <v>0.14457831325301204</v>
      </c>
    </row>
    <row r="11" spans="1:4" x14ac:dyDescent="0.25">
      <c r="A11" s="4">
        <v>10</v>
      </c>
      <c r="B11" s="5" t="s">
        <v>340</v>
      </c>
      <c r="C11" s="4">
        <f>SUMPRODUCT(--ISNUMBER(SEARCH(", "&amp;$B11&amp;",",", "&amp;'Hasil Ekstraksi'!$E$2:$E$84&amp;",")))</f>
        <v>10</v>
      </c>
      <c r="D11" s="6">
        <f>C11/COUNTA('Hasil Ekstraksi'!$A$2:$A$84)</f>
        <v>0.12048192771084337</v>
      </c>
    </row>
    <row r="12" spans="1:4" x14ac:dyDescent="0.25">
      <c r="A12" s="4">
        <v>11</v>
      </c>
      <c r="B12" s="5" t="s">
        <v>341</v>
      </c>
      <c r="C12" s="4">
        <f>SUMPRODUCT(--ISNUMBER(SEARCH(", "&amp;$B12&amp;",",", "&amp;'Hasil Ekstraksi'!$E$2:$E$84&amp;",")))</f>
        <v>7</v>
      </c>
      <c r="D12" s="6">
        <f>C12/COUNTA('Hasil Ekstraksi'!$A$2:$A$84)</f>
        <v>8.4337349397590355E-2</v>
      </c>
    </row>
    <row r="13" spans="1:4" x14ac:dyDescent="0.25">
      <c r="A13" s="4">
        <v>12</v>
      </c>
      <c r="B13" s="5" t="s">
        <v>76</v>
      </c>
      <c r="C13" s="4">
        <f>SUMPRODUCT(--ISNUMBER(SEARCH(", "&amp;$B13&amp;",",", "&amp;'Hasil Ekstraksi'!$E$2:$E$84&amp;",")))</f>
        <v>7</v>
      </c>
      <c r="D13" s="6">
        <f>C13/COUNTA('Hasil Ekstraksi'!$A$2:$A$84)</f>
        <v>8.4337349397590355E-2</v>
      </c>
    </row>
    <row r="14" spans="1:4" x14ac:dyDescent="0.25">
      <c r="A14" s="4">
        <v>13</v>
      </c>
      <c r="B14" s="5" t="s">
        <v>342</v>
      </c>
      <c r="C14" s="4">
        <f>SUMPRODUCT(--ISNUMBER(SEARCH(", "&amp;$B14&amp;",",", "&amp;'Hasil Ekstraksi'!$E$2:$E$84&amp;",")))</f>
        <v>4</v>
      </c>
      <c r="D14" s="6">
        <f>C14/COUNTA('Hasil Ekstraksi'!$A$2:$A$84)</f>
        <v>4.8192771084337352E-2</v>
      </c>
    </row>
    <row r="15" spans="1:4" x14ac:dyDescent="0.25">
      <c r="A15" s="4">
        <v>14</v>
      </c>
      <c r="B15" s="5" t="s">
        <v>343</v>
      </c>
      <c r="C15" s="4">
        <f>SUMPRODUCT(--ISNUMBER(SEARCH(", "&amp;$B15&amp;",",", "&amp;'Hasil Ekstraksi'!$E$2:$E$84&amp;",")))</f>
        <v>4</v>
      </c>
      <c r="D15" s="6">
        <f>C15/COUNTA('Hasil Ekstraksi'!$A$2:$A$84)</f>
        <v>4.8192771084337352E-2</v>
      </c>
    </row>
    <row r="16" spans="1:4" x14ac:dyDescent="0.25">
      <c r="A16" s="4">
        <v>15</v>
      </c>
      <c r="B16" s="5" t="s">
        <v>344</v>
      </c>
      <c r="C16" s="4">
        <f>SUMPRODUCT(--ISNUMBER(SEARCH(", "&amp;$B16&amp;",",", "&amp;'Hasil Ekstraksi'!$E$2:$E$84&amp;",")))</f>
        <v>4</v>
      </c>
      <c r="D16" s="6">
        <f>C16/COUNTA('Hasil Ekstraksi'!$A$2:$A$84)</f>
        <v>4.8192771084337352E-2</v>
      </c>
    </row>
    <row r="17" spans="1:4" x14ac:dyDescent="0.25">
      <c r="A17" s="4">
        <v>16</v>
      </c>
      <c r="B17" s="5" t="s">
        <v>345</v>
      </c>
      <c r="C17" s="4">
        <f>SUMPRODUCT(--ISNUMBER(SEARCH(", "&amp;$B17&amp;",",", "&amp;'Hasil Ekstraksi'!$E$2:$E$84&amp;",")))</f>
        <v>3</v>
      </c>
      <c r="D17" s="6">
        <f>C17/COUNTA('Hasil Ekstraksi'!$A$2:$A$84)</f>
        <v>3.614457831325301E-2</v>
      </c>
    </row>
    <row r="18" spans="1:4" x14ac:dyDescent="0.25">
      <c r="A18" s="4">
        <v>17</v>
      </c>
      <c r="B18" s="5" t="s">
        <v>346</v>
      </c>
      <c r="C18" s="4">
        <f>SUMPRODUCT(--ISNUMBER(SEARCH(", "&amp;$B18&amp;",",", "&amp;'Hasil Ekstraksi'!$E$2:$E$84&amp;",")))</f>
        <v>1</v>
      </c>
      <c r="D18" s="6">
        <f>C18/COUNTA('Hasil Ekstraksi'!$A$2:$A$84)</f>
        <v>1.2048192771084338E-2</v>
      </c>
    </row>
    <row r="20" spans="1:4" x14ac:dyDescent="0.25">
      <c r="A20" s="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Hasil Ekstraksi</vt:lpstr>
      <vt:lpstr>Ringkasan Hard Skills</vt:lpstr>
      <vt:lpstr>Ringkasan Soft Skills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- [2010]</cp:lastModifiedBy>
  <cp:revision>0</cp:revision>
  <dcterms:created xsi:type="dcterms:W3CDTF">2026-10-10T16:44:15Z</dcterms:created>
  <dcterms:modified xsi:type="dcterms:W3CDTF">2026-10-10T16:48:17Z</dcterms:modified>
  <dc:language>en-US</dc:language>
</cp:coreProperties>
</file>