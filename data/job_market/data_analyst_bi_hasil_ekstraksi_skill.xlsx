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firstSheet="1" activeTab="1"/>
  </bookViews>
  <sheets>
    <sheet name="Hasil Ekstraksi" sheetId="1" r:id="rId1"/>
    <sheet name="Ringkasan Hard Skills" sheetId="2" r:id="rId2"/>
    <sheet name="Ringkasan Soft Skills" sheetId="3" r:id="rId3"/>
  </sheets>
  <definedNames>
    <definedName name="_xlnm._FilterDatabase" localSheetId="0" hidden="1">'Hasil Ekstraksi'!$A$1:$E$58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3" l="1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<sst xmlns="http://schemas.openxmlformats.org/spreadsheetml/2006/main" count="295" uniqueCount="255">
  <si>
    <t>No</t>
  </si>
  <si>
    <t>Nama Perusahaan</t>
  </si>
  <si>
    <t>Job Title</t>
  </si>
  <si>
    <t>Extracted Hard Skills</t>
  </si>
  <si>
    <t>Extracted Soft Skills</t>
  </si>
  <si>
    <t>MOVA</t>
  </si>
  <si>
    <t>Data Analyst</t>
  </si>
  <si>
    <t>SQL, Python, Looker Studio, Power BI, Tableau, Microsoft Excel, Dashboard Development</t>
  </si>
  <si>
    <t>Analytical Thinking, Data Storytelling, Communication Skills, Stakeholder Management, Continuous Improvement Mindset</t>
  </si>
  <si>
    <t>PT Astra International Tbk</t>
  </si>
  <si>
    <t>Data Analyst - MODA</t>
  </si>
  <si>
    <t>Power BI, Microsoft Excel, SQL, Dashboard Development, Data Modeling, SAP &amp; ERP, Business Reporting</t>
  </si>
  <si>
    <t>Analytical Thinking, Communication Skills, Stakeholder Management, Attention to Detail, Time Management</t>
  </si>
  <si>
    <t>Facetology</t>
  </si>
  <si>
    <t>E-Commerce Data Analyst</t>
  </si>
  <si>
    <t>SQL, Power BI, Tableau, Looker Studio, Python, Dashboard Development, Data Cleaning &amp; Quality</t>
  </si>
  <si>
    <t>Integrity &amp; Discipline</t>
  </si>
  <si>
    <t>AUTOPEDIA</t>
  </si>
  <si>
    <t>SQL, Python, Looker Studio, Tableau, Power BI, Microsoft Excel, ETL &amp; Data Pipeline</t>
  </si>
  <si>
    <t>Analytical Thinking, Problem Solving, Cross-Functional Collaboration</t>
  </si>
  <si>
    <t>tiket.com</t>
  </si>
  <si>
    <t>Associate Business Intelligence</t>
  </si>
  <si>
    <t>SQL, Tableau, Power BI, Python, Data Warehouse, Dashboard Development, Statistical Analysis</t>
  </si>
  <si>
    <t>-</t>
  </si>
  <si>
    <t>Data Analyst Job Fair Unpar - AOP</t>
  </si>
  <si>
    <t>Power BI, Tableau, SAP &amp; ERP, Dashboard Development, Business Insights</t>
  </si>
  <si>
    <t>Analytical Thinking</t>
  </si>
  <si>
    <t>Cermati Fintech Group</t>
  </si>
  <si>
    <t>Business Intelligence Analyst</t>
  </si>
  <si>
    <t>SQL, Microsoft Excel, Python, R Programming, Statistical Analysis, Data Visualization, Dashboard Development</t>
  </si>
  <si>
    <t>Analytical Thinking, Communication Skills, Time Management, Working Under Pressure, Continuous Improvement Mindset</t>
  </si>
  <si>
    <t>Monee</t>
  </si>
  <si>
    <t>Business Intelligence</t>
  </si>
  <si>
    <t>SQL, Microsoft Excel, Power BI, Tableau, Python, Dashboard Development, A/B Testing</t>
  </si>
  <si>
    <t>Analytical Thinking, Problem Solving, Communication Skills, Stakeholder Management, Cross-Functional Collaboration</t>
  </si>
  <si>
    <t>Komatsu</t>
  </si>
  <si>
    <t>Predictive Modeling, Data Visualization, Dashboard Development, Data Cleaning &amp; Quality, Business Insights, KPI &amp; Metrics Tracking, Supply Chain Analytics</t>
  </si>
  <si>
    <t>Analytical Thinking, Communication Skills, Stakeholder Management, Cross-Functional Collaboration, Team Collaboration</t>
  </si>
  <si>
    <t>Quik Hire Staffing</t>
  </si>
  <si>
    <t>Data Analyst - Business (Remote)</t>
  </si>
  <si>
    <t>SQL, Tableau, Power BI, Python, Microsoft Excel, Statistical Analysis, Dashboard Development</t>
  </si>
  <si>
    <t>Analytical Thinking, Data Storytelling, Communication Skills, Stakeholder Management, Cross-Functional Collaboration</t>
  </si>
  <si>
    <t>Halojasa Indonesia</t>
  </si>
  <si>
    <t>Data Analyst Specialist</t>
  </si>
  <si>
    <t>Statistical Analysis, Data Cleaning &amp; Quality, Business Reporting, API Integration</t>
  </si>
  <si>
    <t>SCG</t>
  </si>
  <si>
    <t>Data Analyst / Data Engineer – SCG Indonesia</t>
  </si>
  <si>
    <t>SQL, Python, Microsoft Excel, Power BI, Tableau, ETL &amp; Data Pipeline, Data Cleaning &amp; Quality</t>
  </si>
  <si>
    <t>Analytical Thinking, Communication Skills</t>
  </si>
  <si>
    <t>PT Bank Digital BCA (BCA Digital)</t>
  </si>
  <si>
    <t>SQL, Python, Power BI, Tableau, Looker Studio, Dashboard Development, Data Visualization</t>
  </si>
  <si>
    <t>Analytical Thinking, Problem Solving, Data Storytelling, Communication Skills, Stakeholder Management</t>
  </si>
  <si>
    <t>PT. Metrodata Electronics Tbk.</t>
  </si>
  <si>
    <t>SQL, Statistical Analysis, Predictive Modeling, Data Visualization</t>
  </si>
  <si>
    <t>Analytical Thinking, Cross-Functional Collaboration</t>
  </si>
  <si>
    <t>Rocketindo</t>
  </si>
  <si>
    <t>Dashboard Development, Business Insights, Business Reporting</t>
  </si>
  <si>
    <t>Analytical Thinking, Data Storytelling, Communication Skills, Cross-Functional Collaboration, Learning Agility</t>
  </si>
  <si>
    <t>ASTRO</t>
  </si>
  <si>
    <t>SQL, Python, Looker Studio, Metabase &amp; Superset, Predictive Modeling, Dashboard Development, dbt &amp; Airflow</t>
  </si>
  <si>
    <t>Analytical Thinking, Problem Solving, Cross-Functional Collaboration, Attention to Detail, Business Acumen</t>
  </si>
  <si>
    <t>Amar Bank</t>
  </si>
  <si>
    <t>Data Analyst (Talent Pool)</t>
  </si>
  <si>
    <t>Tableau, Power BI, Looker Studio, Python, R Programming, Dashboard Development, Data Warehouse</t>
  </si>
  <si>
    <t>Analytical Thinking, Problem Solving, Data Storytelling, Stakeholder Management, Cross-Functional Collaboration</t>
  </si>
  <si>
    <t>AlloFresh</t>
  </si>
  <si>
    <t>SQL, Python, Microsoft Excel, Dashboard Development, Predictive Modeling, Data Cleaning &amp; Quality, Data Visualization</t>
  </si>
  <si>
    <t>Analytical Thinking, Data Storytelling, Stakeholder Management, Cross-Functional Collaboration, Business Acumen</t>
  </si>
  <si>
    <t>Erdigma Indonesia</t>
  </si>
  <si>
    <t>Power BI, Tableau, Looker Studio, SQL, Python, Dashboard Development, Data Cleaning &amp; Quality</t>
  </si>
  <si>
    <t>Kawan Lama Group</t>
  </si>
  <si>
    <t>Data Analyst Officer</t>
  </si>
  <si>
    <t>Python, R Programming, SQL, Microsoft Excel, Power BI, Tableau, Looker Studio</t>
  </si>
  <si>
    <t>Sales Analytics</t>
  </si>
  <si>
    <t>Microsoft Excel, Tableau, Power BI, Looker Studio, Data Cleaning &amp; Quality, Funnel &amp; Cohort Analysis, Data Modeling</t>
  </si>
  <si>
    <t>Vision Ease Asia</t>
  </si>
  <si>
    <t>Data Analyst – Process Engineering Molding Jr. Staff</t>
  </si>
  <si>
    <t>Microsoft Excel, Power BI, Tableau, Dashboard Development, Data Visualization, Business Insights, Business Reporting</t>
  </si>
  <si>
    <t>Analytical Thinking, Problem Solving, Data Storytelling, Communication Skills, Cross-Functional Collaboration</t>
  </si>
  <si>
    <t>Shopee</t>
  </si>
  <si>
    <t>Data Analyst, Business Intelligence</t>
  </si>
  <si>
    <t>SQL, Tableau, Power BI, Looker Studio, Python, Dashboard Development, Exploratory Data Analysis</t>
  </si>
  <si>
    <t>Business Intelligence ( Mid - Senior)</t>
  </si>
  <si>
    <t>Analytical Thinking, Communication Skills, Stakeholder Management, Cross-Functional Collaboration, Proactive Initiative</t>
  </si>
  <si>
    <t>PT. CYBERTREND INTRABUANA</t>
  </si>
  <si>
    <t>Data Analyst and Storyteller</t>
  </si>
  <si>
    <t>Tableau, Power BI, SQL, Python, Dashboard Development, Data Visualization, Business Insights</t>
  </si>
  <si>
    <t>Problem Solving, Data Storytelling, Stakeholder Management, Learning Agility, Team Leadership</t>
  </si>
  <si>
    <t>GoTo Group</t>
  </si>
  <si>
    <t>GoTo Financial - Business Intelligence Ops</t>
  </si>
  <si>
    <t>SQL, Microsoft Excel, Data Cleaning &amp; Quality, Dashboard Development, Business Insights, Business Reporting, Financial Analysis</t>
  </si>
  <si>
    <t>Stakeholder Management, Cross-Functional Collaboration, Attention to Detail, Business Acumen, Curiosity &amp; Inquisitiveness</t>
  </si>
  <si>
    <t>Travelodge Hotels Asia</t>
  </si>
  <si>
    <t>SQL, Tableau, Power BI, Looker Studio, Microsoft Excel, Python, Data Warehouse</t>
  </si>
  <si>
    <t>Data Storytelling, Stakeholder Management, Cross-Functional Collaboration, Business Acumen, Curiosity &amp; Inquisitiveness</t>
  </si>
  <si>
    <t>Finture</t>
  </si>
  <si>
    <t>Finance Data Analyst</t>
  </si>
  <si>
    <t>Microsoft Excel, SQL, Python, Dashboard Development, Data Cleaning &amp; Quality, Business Reporting, KPI &amp; Metrics Tracking</t>
  </si>
  <si>
    <t>Analytical Thinking, Learning Agility</t>
  </si>
  <si>
    <t>Akulaku Group</t>
  </si>
  <si>
    <t>Microsoft Excel, Python, SQL, Tableau, Power BI, ETL &amp; Data Pipeline, Data Cleaning &amp; Quality</t>
  </si>
  <si>
    <t>Cross-Functional Collaboration, Team Leadership</t>
  </si>
  <si>
    <t>Cube</t>
  </si>
  <si>
    <t>Python, SQL, Microsoft Excel, Data Cleaning &amp; Quality, Exploratory Data Analysis, Data Modeling, Statistical Analysis</t>
  </si>
  <si>
    <t>Analytical Thinking, Problem Solving, Communication Skills, Cross-Functional Collaboration, Attention to Detail</t>
  </si>
  <si>
    <t>PT. Erajaya Swasembada, Tbk.</t>
  </si>
  <si>
    <t>Business Performance Analyst</t>
  </si>
  <si>
    <t>Microsoft Excel, Power BI, Data Cleaning &amp; Quality, Dashboard Development, Statistical Analysis, Data Visualization, Financial Analysis</t>
  </si>
  <si>
    <t>Communication Skills, Stakeholder Management, Working Under Pressure</t>
  </si>
  <si>
    <t>EDTS</t>
  </si>
  <si>
    <t>Associate Data Analyst</t>
  </si>
  <si>
    <t>SQL, Power BI, Tableau, Looker Studio, Python, R Programming, Data Visualization</t>
  </si>
  <si>
    <t>ilmuOne Data</t>
  </si>
  <si>
    <t>Jr. Product &amp; Performance Analyst</t>
  </si>
  <si>
    <t>Product &amp; Web Analytics, Tableau, Looker Studio, Power BI, SQL, Exploratory Data Analysis, Dashboard Development</t>
  </si>
  <si>
    <t>Analytical Thinking, Problem Solving, Data Storytelling, Cross-Functional Collaboration, Business Acumen</t>
  </si>
  <si>
    <t>J&amp;T Cargo Indonesia (PT Global Yimi Cargo)</t>
  </si>
  <si>
    <t>Data Analyst (Mandarin Speaker)</t>
  </si>
  <si>
    <t>Microsoft Excel, Dashboard Development, Business Reporting, Business Insights</t>
  </si>
  <si>
    <t>JAPFA</t>
  </si>
  <si>
    <t>BUSINESS INTEGRATION EXECUTIVE</t>
  </si>
  <si>
    <t>Microsoft Excel, SQL, R Programming, Python, Tableau, Power BI, Statistical Analysis</t>
  </si>
  <si>
    <t>Analytical Thinking, Critical Thinking, Problem Solving, Communication Skills, Stakeholder Management</t>
  </si>
  <si>
    <t>Catalyst</t>
  </si>
  <si>
    <t>Data Analytics Engineer</t>
  </si>
  <si>
    <t>SQL, Metabase &amp; Superset, Looker Studio, Tableau, Power BI, ETL &amp; Data Pipeline, Data Modeling</t>
  </si>
  <si>
    <t>Analytical Thinking, Problem Solving, Communication Skills, Cross-Functional Collaboration, Business Acumen</t>
  </si>
  <si>
    <t>Delamibrands</t>
  </si>
  <si>
    <t>IT Report Developer</t>
  </si>
  <si>
    <t>Power BI, Microsoft Excel, SQL, Dashboard Development, Data Warehouse, Data Cleaning &amp; Quality, Business Reporting</t>
  </si>
  <si>
    <t>Analytical Thinking, Stakeholder Management, Attention to Detail, Independent Work</t>
  </si>
  <si>
    <t>Moladin</t>
  </si>
  <si>
    <t>Python, Metabase &amp; Superset, Looker Studio, Microsoft Excel, SQL, Dashboard Development, dbt &amp; Airflow</t>
  </si>
  <si>
    <t>Communication Skills, Stakeholder Management, Cross-Functional Collaboration, Attention to Detail, Team Leadership</t>
  </si>
  <si>
    <t>SPX Express</t>
  </si>
  <si>
    <t>Data Analytics - Risk, SPX Express</t>
  </si>
  <si>
    <t>SQL, Microsoft Excel, Looker Studio, Python, R Programming, Data Cleaning &amp; Quality, Financial Analysis</t>
  </si>
  <si>
    <t>Analytical Thinking, Attention to Detail, Proactive Initiative, Integrity &amp; Discipline</t>
  </si>
  <si>
    <t>Mondelēz International</t>
  </si>
  <si>
    <t>Sales Data Specialist</t>
  </si>
  <si>
    <t>Microsoft Excel, Power BI, SQL, Data Cleaning &amp; Quality, KPI &amp; Metrics Tracking, Business Reporting, Pricing &amp; Sales Analysis</t>
  </si>
  <si>
    <t>Analytical Thinking, Problem Solving, Stakeholder Management, Cross-Functional Collaboration, Attention to Detail</t>
  </si>
  <si>
    <t>Business Analyst - SPX Express (Jakarta)</t>
  </si>
  <si>
    <t>SQL, Microsoft Excel, Python, Data Modeling, Supply Chain Analytics, Financial Analysis, Business Insights</t>
  </si>
  <si>
    <t>Analytical Thinking, Problem Solving, Cross-Functional Collaboration, Learning Agility, Continuous Improvement Mindset</t>
  </si>
  <si>
    <t>Luxehouze</t>
  </si>
  <si>
    <t>Growth Analyst</t>
  </si>
  <si>
    <t>Funnel &amp; Cohort Analysis, Dashboard Development, A/B Testing, Data Cleaning &amp; Quality, Business Insights, KPI &amp; Metrics Tracking, Process Automation</t>
  </si>
  <si>
    <t>Vidio</t>
  </si>
  <si>
    <t>Content Analyst</t>
  </si>
  <si>
    <t>Microsoft Excel, SQL, Tableau, Power BI, Looker Studio, Dashboard Development, Predictive Modeling</t>
  </si>
  <si>
    <t>Analytical Thinking, Communication Skills, Cross-Functional Collaboration, Adaptability to Change</t>
  </si>
  <si>
    <t>Data Analyst - Finance (Remote)</t>
  </si>
  <si>
    <t>Microsoft Excel, SQL, Python, Tableau, Power BI, Data Visualization, Predictive Modeling</t>
  </si>
  <si>
    <t>Stakeholder Management, Cross-Functional Collaboration</t>
  </si>
  <si>
    <t>Junior Business Analyst</t>
  </si>
  <si>
    <t>SQL, Microsoft Excel, Looker Studio, Dashboard Development, Data Cleaning &amp; Quality, Data Visualization, Marketing Analytics</t>
  </si>
  <si>
    <t>Analytical Thinking, Communication Skills, Stakeholder Management, Cross-Functional Collaboration</t>
  </si>
  <si>
    <t>MGMI - mGanik Grup Mitra Indonesia</t>
  </si>
  <si>
    <t>Business Intelligence Engineer</t>
  </si>
  <si>
    <t>SQL, Microsoft Excel, Dashboard Development, Data Cleaning &amp; Quality, Data Visualization, ETL &amp; Data Pipeline, Data Modeling</t>
  </si>
  <si>
    <t>Business Acumen</t>
  </si>
  <si>
    <t>Jr Programmatic &amp; Marketing Data Analyst</t>
  </si>
  <si>
    <t>Microsoft Excel, SQL, Python, R Programming, Tableau, Power BI, Looker Studio</t>
  </si>
  <si>
    <t>Y Ventures Group</t>
  </si>
  <si>
    <t>Operations Analyst (Data &amp; Automation)</t>
  </si>
  <si>
    <t>Python, SQL, ETL &amp; Data Pipeline, Dashboard Development, Process Automation, Supply Chain Analytics, Business Reporting</t>
  </si>
  <si>
    <t>Cross-Functional Collaboration, Learning Agility, Independent Work</t>
  </si>
  <si>
    <t>PT Pratama Interdana Finance (YesssCredit)</t>
  </si>
  <si>
    <t>Business Analyst</t>
  </si>
  <si>
    <t>Funnel &amp; Cohort Analysis, Predictive Modeling, Dashboard Development, KPI &amp; Metrics Tracking, Marketing Analytics, Financial Analysis, Business Insights</t>
  </si>
  <si>
    <t>Data Storytelling, Stakeholder Management, Cross-Functional Collaboration, Proactive Initiative</t>
  </si>
  <si>
    <t>Cloud Kinetics</t>
  </si>
  <si>
    <t>Business Intelligence Developer</t>
  </si>
  <si>
    <t>SQL, Power BI, Tableau, Cloud Data Platform, Data Visualization, Data Modeling, Data Warehouse</t>
  </si>
  <si>
    <t>Analytical Thinking, Stakeholder Management, Cross-Functional Collaboration, Business Acumen</t>
  </si>
  <si>
    <t>PT Surya Artha Nusantara Finance</t>
  </si>
  <si>
    <t>Technical Analyst (SCAN)</t>
  </si>
  <si>
    <t>Microsoft Excel, Power BI, Dashboard Development, Data Visualization, Process Automation, Supply Chain Analytics, Business Insights</t>
  </si>
  <si>
    <t>Analytical Thinking, Data Storytelling, Stakeholder Management, Cross-Functional Collaboration, Time Management</t>
  </si>
  <si>
    <t>Brink’s Inc</t>
  </si>
  <si>
    <t>FORECASTING</t>
  </si>
  <si>
    <t>Predictive Modeling, Dashboard Development, Business Reporting, Technical Documentation</t>
  </si>
  <si>
    <t>Cross-Functional Collaboration</t>
  </si>
  <si>
    <t>PT Chandra Sakti Utama Leasing</t>
  </si>
  <si>
    <t>Strategic Audit Development, Data Analytic &amp; QA - South Jakarta</t>
  </si>
  <si>
    <t>Microsoft Excel, Python, Power BI, Data Cleaning &amp; Quality, Dashboard Development, Data Visualization, Business Reporting</t>
  </si>
  <si>
    <t>Atome</t>
  </si>
  <si>
    <t>Risk Analytics</t>
  </si>
  <si>
    <t>SQL, Python, Predictive Modeling, Data Cleaning &amp; Quality, Dashboard Development, Financial Analysis, Business Reporting</t>
  </si>
  <si>
    <t>Stakeholder Management, Cross-Functional Collaboration, Attention to Detail, Proactive Initiative, Integrity &amp; Discipline</t>
  </si>
  <si>
    <t>SAMIR</t>
  </si>
  <si>
    <t>Customer Service Data &amp; Systems Analyst</t>
  </si>
  <si>
    <t>Microsoft Excel, Looker Studio, Python, SQL, Dashboard Development, Google Apps Script, Data Cleaning &amp; Quality</t>
  </si>
  <si>
    <t>Analytical Thinking, Independent Work</t>
  </si>
  <si>
    <t>CuddleMe Indonesia</t>
  </si>
  <si>
    <t>Staff Data Analyst</t>
  </si>
  <si>
    <t>Microsoft Excel, Data Visualization, SAP &amp; ERP, Process Automation, API Integration, Business Insights</t>
  </si>
  <si>
    <t>Analytical Thinking, Problem Solving</t>
  </si>
  <si>
    <t>Wati</t>
  </si>
  <si>
    <t>(Senior) Product Analyst</t>
  </si>
  <si>
    <t>SQL, Product &amp; Web Analytics, Python, Looker Studio, Funnel &amp; Cohort Analysis, Data Visualization, A/B Testing</t>
  </si>
  <si>
    <t>Skill</t>
  </si>
  <si>
    <t>Jumlah Lowongan</t>
  </si>
  <si>
    <t>% dari Lowongan</t>
  </si>
  <si>
    <t>SQL</t>
  </si>
  <si>
    <t>Dashboard Development</t>
  </si>
  <si>
    <t>Microsoft Excel</t>
  </si>
  <si>
    <t>Python</t>
  </si>
  <si>
    <t>Power BI</t>
  </si>
  <si>
    <t>Tableau</t>
  </si>
  <si>
    <t>Data Cleaning &amp; Quality</t>
  </si>
  <si>
    <t>Looker Studio</t>
  </si>
  <si>
    <t>Data Visualization</t>
  </si>
  <si>
    <t>Business Reporting</t>
  </si>
  <si>
    <t>Business Insights</t>
  </si>
  <si>
    <t>Predictive Modeling</t>
  </si>
  <si>
    <t>Statistical Analysis</t>
  </si>
  <si>
    <t>R Programming</t>
  </si>
  <si>
    <t>Data Modeling</t>
  </si>
  <si>
    <t>ETL &amp; Data Pipeline</t>
  </si>
  <si>
    <t>Financial Analysis</t>
  </si>
  <si>
    <t>Data Warehouse</t>
  </si>
  <si>
    <t>KPI &amp; Metrics Tracking</t>
  </si>
  <si>
    <t>Funnel &amp; Cohort Analysis</t>
  </si>
  <si>
    <t>Process Automation</t>
  </si>
  <si>
    <t>Supply Chain Analytics</t>
  </si>
  <si>
    <t>A/B Testing</t>
  </si>
  <si>
    <t>Exploratory Data Analysis</t>
  </si>
  <si>
    <t>Metabase &amp; Superset</t>
  </si>
  <si>
    <t>SAP &amp; ERP</t>
  </si>
  <si>
    <t>API Integration</t>
  </si>
  <si>
    <t>Marketing Analytics</t>
  </si>
  <si>
    <t>Product &amp; Web Analytics</t>
  </si>
  <si>
    <t>dbt &amp; Airflow</t>
  </si>
  <si>
    <t>Cloud Data Platform</t>
  </si>
  <si>
    <t>Google Apps Script</t>
  </si>
  <si>
    <t>Pricing &amp; Sales Analysis</t>
  </si>
  <si>
    <t>Technical Documentation</t>
  </si>
  <si>
    <t>Stakeholder Management</t>
  </si>
  <si>
    <t>Communication Skills</t>
  </si>
  <si>
    <t>Problem Solving</t>
  </si>
  <si>
    <t>Data Storytelling</t>
  </si>
  <si>
    <t>Attention to Detail</t>
  </si>
  <si>
    <t>Learning Agility</t>
  </si>
  <si>
    <t>Proactive Initiative</t>
  </si>
  <si>
    <t>Continuous Improvement Mindset</t>
  </si>
  <si>
    <t>Independent Work</t>
  </si>
  <si>
    <t>Team Leadership</t>
  </si>
  <si>
    <t>Time Management</t>
  </si>
  <si>
    <t>Curiosity &amp; Inquisitiveness</t>
  </si>
  <si>
    <t>Working Under Pressure</t>
  </si>
  <si>
    <t>Adaptability to Change</t>
  </si>
  <si>
    <t>Critical Thinking</t>
  </si>
  <si>
    <t>Team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</si>
</sst>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2" customWidth="1"/>
    <col min="3" max="3" width="42" customWidth="1"/>
    <col min="4" max="4" width="70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5.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25.5" x14ac:dyDescent="0.25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25.5" x14ac:dyDescent="0.25">
      <c r="A5" s="2">
        <v>4</v>
      </c>
      <c r="B5" s="3" t="s">
        <v>17</v>
      </c>
      <c r="C5" s="3" t="s">
        <v>6</v>
      </c>
      <c r="D5" s="3" t="s">
        <v>18</v>
      </c>
      <c r="E5" s="3" t="s">
        <v>19</v>
      </c>
    </row>
    <row r="6" spans="1:5" ht="25.5" x14ac:dyDescent="0.25">
      <c r="A6" s="2">
        <v>5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x14ac:dyDescent="0.25">
      <c r="A7" s="2">
        <v>6</v>
      </c>
      <c r="B7" s="3" t="s">
        <v>9</v>
      </c>
      <c r="C7" s="3" t="s">
        <v>24</v>
      </c>
      <c r="D7" s="3" t="s">
        <v>25</v>
      </c>
      <c r="E7" s="3" t="s">
        <v>26</v>
      </c>
    </row>
    <row r="8" spans="1:5" ht="25.5" x14ac:dyDescent="0.25">
      <c r="A8" s="2">
        <v>7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25.5" x14ac:dyDescent="0.25">
      <c r="A9" s="2">
        <v>8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38.25" x14ac:dyDescent="0.25">
      <c r="A10" s="2">
        <v>9</v>
      </c>
      <c r="B10" s="3" t="s">
        <v>35</v>
      </c>
      <c r="C10" s="3" t="s">
        <v>6</v>
      </c>
      <c r="D10" s="3" t="s">
        <v>36</v>
      </c>
      <c r="E10" s="3" t="s">
        <v>37</v>
      </c>
    </row>
    <row r="11" spans="1:5" ht="25.5" x14ac:dyDescent="0.25">
      <c r="A11" s="2">
        <v>10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5" ht="25.5" x14ac:dyDescent="0.25">
      <c r="A12" s="2">
        <v>11</v>
      </c>
      <c r="B12" s="3" t="s">
        <v>42</v>
      </c>
      <c r="C12" s="3" t="s">
        <v>43</v>
      </c>
      <c r="D12" s="3" t="s">
        <v>44</v>
      </c>
      <c r="E12" s="3" t="s">
        <v>23</v>
      </c>
    </row>
    <row r="13" spans="1:5" ht="25.5" x14ac:dyDescent="0.25">
      <c r="A13" s="2">
        <v>12</v>
      </c>
      <c r="B13" s="3" t="s">
        <v>45</v>
      </c>
      <c r="C13" s="3" t="s">
        <v>46</v>
      </c>
      <c r="D13" s="3" t="s">
        <v>47</v>
      </c>
      <c r="E13" s="3" t="s">
        <v>48</v>
      </c>
    </row>
    <row r="14" spans="1:5" ht="25.5" x14ac:dyDescent="0.25">
      <c r="A14" s="2">
        <v>13</v>
      </c>
      <c r="B14" s="3" t="s">
        <v>49</v>
      </c>
      <c r="C14" s="3" t="s">
        <v>6</v>
      </c>
      <c r="D14" s="3" t="s">
        <v>50</v>
      </c>
      <c r="E14" s="3" t="s">
        <v>51</v>
      </c>
    </row>
    <row r="15" spans="1:5" x14ac:dyDescent="0.25">
      <c r="A15" s="2">
        <v>14</v>
      </c>
      <c r="B15" s="3" t="s">
        <v>52</v>
      </c>
      <c r="C15" s="3" t="s">
        <v>6</v>
      </c>
      <c r="D15" s="3" t="s">
        <v>53</v>
      </c>
      <c r="E15" s="3" t="s">
        <v>54</v>
      </c>
    </row>
    <row r="16" spans="1:5" ht="25.5" x14ac:dyDescent="0.25">
      <c r="A16" s="2">
        <v>15</v>
      </c>
      <c r="B16" s="3" t="s">
        <v>55</v>
      </c>
      <c r="C16" s="3" t="s">
        <v>28</v>
      </c>
      <c r="D16" s="3" t="s">
        <v>56</v>
      </c>
      <c r="E16" s="3" t="s">
        <v>57</v>
      </c>
    </row>
    <row r="17" spans="1:5" ht="25.5" x14ac:dyDescent="0.25">
      <c r="A17" s="2">
        <v>16</v>
      </c>
      <c r="B17" s="3" t="s">
        <v>58</v>
      </c>
      <c r="C17" s="3" t="s">
        <v>6</v>
      </c>
      <c r="D17" s="3" t="s">
        <v>59</v>
      </c>
      <c r="E17" s="3" t="s">
        <v>60</v>
      </c>
    </row>
    <row r="18" spans="1:5" ht="25.5" x14ac:dyDescent="0.25">
      <c r="A18" s="2">
        <v>17</v>
      </c>
      <c r="B18" s="3" t="s">
        <v>61</v>
      </c>
      <c r="C18" s="3" t="s">
        <v>62</v>
      </c>
      <c r="D18" s="3" t="s">
        <v>63</v>
      </c>
      <c r="E18" s="3" t="s">
        <v>64</v>
      </c>
    </row>
    <row r="19" spans="1:5" ht="38.25" x14ac:dyDescent="0.25">
      <c r="A19" s="2">
        <v>18</v>
      </c>
      <c r="B19" s="3" t="s">
        <v>65</v>
      </c>
      <c r="C19" s="3" t="s">
        <v>6</v>
      </c>
      <c r="D19" s="3" t="s">
        <v>66</v>
      </c>
      <c r="E19" s="3" t="s">
        <v>67</v>
      </c>
    </row>
    <row r="20" spans="1:5" ht="25.5" x14ac:dyDescent="0.25">
      <c r="A20" s="2">
        <v>19</v>
      </c>
      <c r="B20" s="3" t="s">
        <v>68</v>
      </c>
      <c r="C20" s="3" t="s">
        <v>32</v>
      </c>
      <c r="D20" s="3" t="s">
        <v>69</v>
      </c>
      <c r="E20" s="3" t="s">
        <v>34</v>
      </c>
    </row>
    <row r="21" spans="1:5" ht="25.5" x14ac:dyDescent="0.25">
      <c r="A21" s="2">
        <v>20</v>
      </c>
      <c r="B21" s="3" t="s">
        <v>70</v>
      </c>
      <c r="C21" s="3" t="s">
        <v>71</v>
      </c>
      <c r="D21" s="3" t="s">
        <v>72</v>
      </c>
      <c r="E21" s="3" t="s">
        <v>51</v>
      </c>
    </row>
    <row r="22" spans="1:5" ht="25.5" x14ac:dyDescent="0.25">
      <c r="A22" s="2">
        <v>21</v>
      </c>
      <c r="B22" s="3" t="s">
        <v>31</v>
      </c>
      <c r="C22" s="3" t="s">
        <v>73</v>
      </c>
      <c r="D22" s="3" t="s">
        <v>74</v>
      </c>
      <c r="E22" s="3" t="s">
        <v>51</v>
      </c>
    </row>
    <row r="23" spans="1:5" ht="25.5" x14ac:dyDescent="0.25">
      <c r="A23" s="2">
        <v>22</v>
      </c>
      <c r="B23" s="3" t="s">
        <v>75</v>
      </c>
      <c r="C23" s="3" t="s">
        <v>76</v>
      </c>
      <c r="D23" s="3" t="s">
        <v>77</v>
      </c>
      <c r="E23" s="3" t="s">
        <v>78</v>
      </c>
    </row>
    <row r="24" spans="1:5" ht="25.5" x14ac:dyDescent="0.25">
      <c r="A24" s="2">
        <v>23</v>
      </c>
      <c r="B24" s="3" t="s">
        <v>79</v>
      </c>
      <c r="C24" s="3" t="s">
        <v>80</v>
      </c>
      <c r="D24" s="3" t="s">
        <v>81</v>
      </c>
      <c r="E24" s="3" t="s">
        <v>51</v>
      </c>
    </row>
    <row r="25" spans="1:5" ht="38.25" x14ac:dyDescent="0.25">
      <c r="A25" s="2">
        <v>24</v>
      </c>
      <c r="B25" s="3" t="s">
        <v>27</v>
      </c>
      <c r="C25" s="3" t="s">
        <v>82</v>
      </c>
      <c r="D25" s="3" t="s">
        <v>29</v>
      </c>
      <c r="E25" s="3" t="s">
        <v>83</v>
      </c>
    </row>
    <row r="26" spans="1:5" ht="25.5" x14ac:dyDescent="0.25">
      <c r="A26" s="2">
        <v>25</v>
      </c>
      <c r="B26" s="3" t="s">
        <v>84</v>
      </c>
      <c r="C26" s="3" t="s">
        <v>85</v>
      </c>
      <c r="D26" s="3" t="s">
        <v>86</v>
      </c>
      <c r="E26" s="3" t="s">
        <v>87</v>
      </c>
    </row>
    <row r="27" spans="1:5" ht="38.25" x14ac:dyDescent="0.25">
      <c r="A27" s="2">
        <v>26</v>
      </c>
      <c r="B27" s="3" t="s">
        <v>88</v>
      </c>
      <c r="C27" s="3" t="s">
        <v>89</v>
      </c>
      <c r="D27" s="3" t="s">
        <v>90</v>
      </c>
      <c r="E27" s="3" t="s">
        <v>91</v>
      </c>
    </row>
    <row r="28" spans="1:5" ht="25.5" x14ac:dyDescent="0.25">
      <c r="A28" s="2">
        <v>27</v>
      </c>
      <c r="B28" s="3" t="s">
        <v>92</v>
      </c>
      <c r="C28" s="3" t="s">
        <v>6</v>
      </c>
      <c r="D28" s="3" t="s">
        <v>93</v>
      </c>
      <c r="E28" s="3" t="s">
        <v>94</v>
      </c>
    </row>
    <row r="29" spans="1:5" ht="25.5" x14ac:dyDescent="0.25">
      <c r="A29" s="2">
        <v>28</v>
      </c>
      <c r="B29" s="3" t="s">
        <v>95</v>
      </c>
      <c r="C29" s="3" t="s">
        <v>96</v>
      </c>
      <c r="D29" s="3" t="s">
        <v>97</v>
      </c>
      <c r="E29" s="3" t="s">
        <v>98</v>
      </c>
    </row>
    <row r="30" spans="1:5" ht="25.5" x14ac:dyDescent="0.25">
      <c r="A30" s="2">
        <v>29</v>
      </c>
      <c r="B30" s="3" t="s">
        <v>99</v>
      </c>
      <c r="C30" s="3" t="s">
        <v>96</v>
      </c>
      <c r="D30" s="3" t="s">
        <v>100</v>
      </c>
      <c r="E30" s="3" t="s">
        <v>101</v>
      </c>
    </row>
    <row r="31" spans="1:5" ht="25.5" x14ac:dyDescent="0.25">
      <c r="A31" s="2">
        <v>30</v>
      </c>
      <c r="B31" s="3" t="s">
        <v>102</v>
      </c>
      <c r="C31" s="3" t="s">
        <v>6</v>
      </c>
      <c r="D31" s="3" t="s">
        <v>103</v>
      </c>
      <c r="E31" s="3" t="s">
        <v>104</v>
      </c>
    </row>
    <row r="32" spans="1:5" ht="25.5" x14ac:dyDescent="0.25">
      <c r="A32" s="2">
        <v>31</v>
      </c>
      <c r="B32" s="3" t="s">
        <v>105</v>
      </c>
      <c r="C32" s="3" t="s">
        <v>106</v>
      </c>
      <c r="D32" s="3" t="s">
        <v>107</v>
      </c>
      <c r="E32" s="3" t="s">
        <v>108</v>
      </c>
    </row>
    <row r="33" spans="1:5" ht="25.5" x14ac:dyDescent="0.25">
      <c r="A33" s="2">
        <v>32</v>
      </c>
      <c r="B33" s="3" t="s">
        <v>109</v>
      </c>
      <c r="C33" s="3" t="s">
        <v>110</v>
      </c>
      <c r="D33" s="3" t="s">
        <v>111</v>
      </c>
      <c r="E33" s="3" t="s">
        <v>51</v>
      </c>
    </row>
    <row r="34" spans="1:5" ht="25.5" x14ac:dyDescent="0.25">
      <c r="A34" s="2">
        <v>33</v>
      </c>
      <c r="B34" s="3" t="s">
        <v>112</v>
      </c>
      <c r="C34" s="3" t="s">
        <v>113</v>
      </c>
      <c r="D34" s="3" t="s">
        <v>114</v>
      </c>
      <c r="E34" s="3" t="s">
        <v>115</v>
      </c>
    </row>
    <row r="35" spans="1:5" ht="25.5" x14ac:dyDescent="0.25">
      <c r="A35" s="2">
        <v>34</v>
      </c>
      <c r="B35" s="3" t="s">
        <v>116</v>
      </c>
      <c r="C35" s="3" t="s">
        <v>117</v>
      </c>
      <c r="D35" s="3" t="s">
        <v>118</v>
      </c>
      <c r="E35" s="3" t="s">
        <v>23</v>
      </c>
    </row>
    <row r="36" spans="1:5" ht="25.5" x14ac:dyDescent="0.25">
      <c r="A36" s="2">
        <v>35</v>
      </c>
      <c r="B36" s="3" t="s">
        <v>119</v>
      </c>
      <c r="C36" s="3" t="s">
        <v>120</v>
      </c>
      <c r="D36" s="3" t="s">
        <v>121</v>
      </c>
      <c r="E36" s="3" t="s">
        <v>122</v>
      </c>
    </row>
    <row r="37" spans="1:5" ht="25.5" x14ac:dyDescent="0.25">
      <c r="A37" s="2">
        <v>36</v>
      </c>
      <c r="B37" s="3" t="s">
        <v>123</v>
      </c>
      <c r="C37" s="3" t="s">
        <v>124</v>
      </c>
      <c r="D37" s="3" t="s">
        <v>125</v>
      </c>
      <c r="E37" s="3" t="s">
        <v>126</v>
      </c>
    </row>
    <row r="38" spans="1:5" ht="25.5" x14ac:dyDescent="0.25">
      <c r="A38" s="2">
        <v>37</v>
      </c>
      <c r="B38" s="3" t="s">
        <v>127</v>
      </c>
      <c r="C38" s="3" t="s">
        <v>128</v>
      </c>
      <c r="D38" s="3" t="s">
        <v>129</v>
      </c>
      <c r="E38" s="3" t="s">
        <v>130</v>
      </c>
    </row>
    <row r="39" spans="1:5" ht="25.5" x14ac:dyDescent="0.25">
      <c r="A39" s="2">
        <v>38</v>
      </c>
      <c r="B39" s="3" t="s">
        <v>131</v>
      </c>
      <c r="C39" s="3" t="s">
        <v>6</v>
      </c>
      <c r="D39" s="3" t="s">
        <v>132</v>
      </c>
      <c r="E39" s="3" t="s">
        <v>133</v>
      </c>
    </row>
    <row r="40" spans="1:5" ht="25.5" x14ac:dyDescent="0.25">
      <c r="A40" s="2">
        <v>39</v>
      </c>
      <c r="B40" s="3" t="s">
        <v>134</v>
      </c>
      <c r="C40" s="3" t="s">
        <v>135</v>
      </c>
      <c r="D40" s="3" t="s">
        <v>136</v>
      </c>
      <c r="E40" s="3" t="s">
        <v>137</v>
      </c>
    </row>
    <row r="41" spans="1:5" ht="38.25" x14ac:dyDescent="0.25">
      <c r="A41" s="2">
        <v>40</v>
      </c>
      <c r="B41" s="3" t="s">
        <v>138</v>
      </c>
      <c r="C41" s="3" t="s">
        <v>139</v>
      </c>
      <c r="D41" s="3" t="s">
        <v>140</v>
      </c>
      <c r="E41" s="3" t="s">
        <v>141</v>
      </c>
    </row>
    <row r="42" spans="1:5" ht="38.25" x14ac:dyDescent="0.25">
      <c r="A42" s="2">
        <v>41</v>
      </c>
      <c r="B42" s="3" t="s">
        <v>134</v>
      </c>
      <c r="C42" s="3" t="s">
        <v>142</v>
      </c>
      <c r="D42" s="3" t="s">
        <v>143</v>
      </c>
      <c r="E42" s="3" t="s">
        <v>144</v>
      </c>
    </row>
    <row r="43" spans="1:5" ht="25.5" x14ac:dyDescent="0.25">
      <c r="A43" s="2">
        <v>42</v>
      </c>
      <c r="B43" s="3" t="s">
        <v>145</v>
      </c>
      <c r="C43" s="3" t="s">
        <v>146</v>
      </c>
      <c r="D43" s="3" t="s">
        <v>147</v>
      </c>
      <c r="E43" s="3" t="s">
        <v>64</v>
      </c>
    </row>
    <row r="44" spans="1:5" ht="25.5" x14ac:dyDescent="0.25">
      <c r="A44" s="2">
        <v>43</v>
      </c>
      <c r="B44" s="3" t="s">
        <v>148</v>
      </c>
      <c r="C44" s="3" t="s">
        <v>149</v>
      </c>
      <c r="D44" s="3" t="s">
        <v>150</v>
      </c>
      <c r="E44" s="3" t="s">
        <v>151</v>
      </c>
    </row>
    <row r="45" spans="1:5" ht="25.5" x14ac:dyDescent="0.25">
      <c r="A45" s="2">
        <v>44</v>
      </c>
      <c r="B45" s="3" t="s">
        <v>38</v>
      </c>
      <c r="C45" s="3" t="s">
        <v>152</v>
      </c>
      <c r="D45" s="3" t="s">
        <v>153</v>
      </c>
      <c r="E45" s="3" t="s">
        <v>154</v>
      </c>
    </row>
    <row r="46" spans="1:5" ht="25.5" x14ac:dyDescent="0.25">
      <c r="A46" s="2">
        <v>45</v>
      </c>
      <c r="B46" s="3" t="s">
        <v>105</v>
      </c>
      <c r="C46" s="3" t="s">
        <v>155</v>
      </c>
      <c r="D46" s="3" t="s">
        <v>156</v>
      </c>
      <c r="E46" s="3" t="s">
        <v>157</v>
      </c>
    </row>
    <row r="47" spans="1:5" ht="25.5" x14ac:dyDescent="0.25">
      <c r="A47" s="2">
        <v>46</v>
      </c>
      <c r="B47" s="3" t="s">
        <v>158</v>
      </c>
      <c r="C47" s="3" t="s">
        <v>159</v>
      </c>
      <c r="D47" s="3" t="s">
        <v>160</v>
      </c>
      <c r="E47" s="3" t="s">
        <v>161</v>
      </c>
    </row>
    <row r="48" spans="1:5" ht="25.5" x14ac:dyDescent="0.25">
      <c r="A48" s="2">
        <v>47</v>
      </c>
      <c r="B48" s="3" t="s">
        <v>112</v>
      </c>
      <c r="C48" s="3" t="s">
        <v>162</v>
      </c>
      <c r="D48" s="3" t="s">
        <v>163</v>
      </c>
      <c r="E48" s="3" t="s">
        <v>78</v>
      </c>
    </row>
    <row r="49" spans="1:5" ht="25.5" x14ac:dyDescent="0.25">
      <c r="A49" s="2">
        <v>48</v>
      </c>
      <c r="B49" s="3" t="s">
        <v>164</v>
      </c>
      <c r="C49" s="3" t="s">
        <v>165</v>
      </c>
      <c r="D49" s="3" t="s">
        <v>166</v>
      </c>
      <c r="E49" s="3" t="s">
        <v>167</v>
      </c>
    </row>
    <row r="50" spans="1:5" ht="25.5" x14ac:dyDescent="0.25">
      <c r="A50" s="2">
        <v>49</v>
      </c>
      <c r="B50" s="3" t="s">
        <v>168</v>
      </c>
      <c r="C50" s="3" t="s">
        <v>169</v>
      </c>
      <c r="D50" s="3" t="s">
        <v>170</v>
      </c>
      <c r="E50" s="3" t="s">
        <v>171</v>
      </c>
    </row>
    <row r="51" spans="1:5" ht="25.5" x14ac:dyDescent="0.25">
      <c r="A51" s="2">
        <v>50</v>
      </c>
      <c r="B51" s="3" t="s">
        <v>172</v>
      </c>
      <c r="C51" s="3" t="s">
        <v>173</v>
      </c>
      <c r="D51" s="3" t="s">
        <v>174</v>
      </c>
      <c r="E51" s="3" t="s">
        <v>175</v>
      </c>
    </row>
    <row r="52" spans="1:5" ht="38.25" x14ac:dyDescent="0.25">
      <c r="A52" s="2">
        <v>51</v>
      </c>
      <c r="B52" s="3" t="s">
        <v>176</v>
      </c>
      <c r="C52" s="3" t="s">
        <v>177</v>
      </c>
      <c r="D52" s="3" t="s">
        <v>178</v>
      </c>
      <c r="E52" s="3" t="s">
        <v>179</v>
      </c>
    </row>
    <row r="53" spans="1:5" ht="25.5" x14ac:dyDescent="0.25">
      <c r="A53" s="2">
        <v>52</v>
      </c>
      <c r="B53" s="3" t="s">
        <v>180</v>
      </c>
      <c r="C53" s="3" t="s">
        <v>181</v>
      </c>
      <c r="D53" s="3" t="s">
        <v>182</v>
      </c>
      <c r="E53" s="3" t="s">
        <v>183</v>
      </c>
    </row>
    <row r="54" spans="1:5" ht="25.5" x14ac:dyDescent="0.25">
      <c r="A54" s="2">
        <v>53</v>
      </c>
      <c r="B54" s="3" t="s">
        <v>184</v>
      </c>
      <c r="C54" s="3" t="s">
        <v>185</v>
      </c>
      <c r="D54" s="3" t="s">
        <v>186</v>
      </c>
      <c r="E54" s="3" t="s">
        <v>154</v>
      </c>
    </row>
    <row r="55" spans="1:5" ht="25.5" x14ac:dyDescent="0.25">
      <c r="A55" s="2">
        <v>54</v>
      </c>
      <c r="B55" s="3" t="s">
        <v>187</v>
      </c>
      <c r="C55" s="3" t="s">
        <v>188</v>
      </c>
      <c r="D55" s="3" t="s">
        <v>189</v>
      </c>
      <c r="E55" s="3" t="s">
        <v>190</v>
      </c>
    </row>
    <row r="56" spans="1:5" ht="25.5" x14ac:dyDescent="0.25">
      <c r="A56" s="2">
        <v>55</v>
      </c>
      <c r="B56" s="3" t="s">
        <v>191</v>
      </c>
      <c r="C56" s="3" t="s">
        <v>192</v>
      </c>
      <c r="D56" s="3" t="s">
        <v>193</v>
      </c>
      <c r="E56" s="3" t="s">
        <v>194</v>
      </c>
    </row>
    <row r="57" spans="1:5" ht="25.5" x14ac:dyDescent="0.25">
      <c r="A57" s="2">
        <v>56</v>
      </c>
      <c r="B57" s="3" t="s">
        <v>195</v>
      </c>
      <c r="C57" s="3" t="s">
        <v>196</v>
      </c>
      <c r="D57" s="3" t="s">
        <v>197</v>
      </c>
      <c r="E57" s="3" t="s">
        <v>198</v>
      </c>
    </row>
    <row r="58" spans="1:5" ht="25.5" x14ac:dyDescent="0.25">
      <c r="A58" s="2">
        <v>57</v>
      </c>
      <c r="B58" s="3" t="s">
        <v>199</v>
      </c>
      <c r="C58" s="3" t="s">
        <v>200</v>
      </c>
      <c r="D58" s="3" t="s">
        <v>201</v>
      </c>
      <c r="E58" s="3" t="s">
        <v>51</v>
      </c>
    </row>
  </sheetData>
  <autoFilter ref="A1:E58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zoomScaleNormal="100" workbookViewId="0">
      <pane ySplit="1" topLeftCell="A2" activePane="bottomLeft" state="frozen"/>
      <selection pane="bottomLeft" activeCell="A37" sqref="A37"/>
    </sheetView>
  </sheetViews>
  <sheetFormatPr defaultColWidth="8.7109375" defaultRowHeight="15" x14ac:dyDescent="0.25"/>
  <cols>
    <col min="1" max="1" width="6" customWidth="1"/>
    <col min="2" max="2" width="38" customWidth="1"/>
    <col min="3" max="4" width="18" customWidth="1"/>
  </cols>
  <sheetData>
    <row r="1" spans="1:4" ht="25.5" x14ac:dyDescent="0.25">
      <c r="A1" s="1" t="s">
        <v>0</v>
      </c>
      <c r="B1" s="1" t="s">
        <v>202</v>
      </c>
      <c r="C1" s="1" t="s">
        <v>203</v>
      </c>
      <c r="D1" s="1" t="s">
        <v>204</v>
      </c>
    </row>
    <row r="2" spans="1:4" x14ac:dyDescent="0.25">
      <c r="A2" s="4">
        <v>1</v>
      </c>
      <c r="B2" s="5" t="s">
        <v>205</v>
      </c>
      <c r="C2" s="4">
        <f>SUMPRODUCT(--ISNUMBER(SEARCH(", "&amp;$B2&amp;",",", "&amp;'Hasil Ekstraksi'!$D$2:$D$58&amp;",")))</f>
        <v>42</v>
      </c>
      <c r="D2" s="6">
        <f>C2/COUNTA('Hasil Ekstraksi'!$A$2:$A$58)</f>
        <v>0.73684210526315785</v>
      </c>
    </row>
    <row r="3" spans="1:4" x14ac:dyDescent="0.25">
      <c r="A3" s="4">
        <v>2</v>
      </c>
      <c r="B3" s="5" t="s">
        <v>206</v>
      </c>
      <c r="C3" s="4">
        <f>SUMPRODUCT(--ISNUMBER(SEARCH(", "&amp;$B3&amp;",",", "&amp;'Hasil Ekstraksi'!$D$2:$D$58&amp;",")))</f>
        <v>37</v>
      </c>
      <c r="D3" s="6">
        <f>C3/COUNTA('Hasil Ekstraksi'!$A$2:$A$58)</f>
        <v>0.64912280701754388</v>
      </c>
    </row>
    <row r="4" spans="1:4" x14ac:dyDescent="0.25">
      <c r="A4" s="4">
        <v>3</v>
      </c>
      <c r="B4" s="5" t="s">
        <v>207</v>
      </c>
      <c r="C4" s="4">
        <f>SUMPRODUCT(--ISNUMBER(SEARCH(", "&amp;$B4&amp;",",", "&amp;'Hasil Ekstraksi'!$D$2:$D$58&amp;",")))</f>
        <v>34</v>
      </c>
      <c r="D4" s="6">
        <f>C4/COUNTA('Hasil Ekstraksi'!$A$2:$A$58)</f>
        <v>0.59649122807017541</v>
      </c>
    </row>
    <row r="5" spans="1:4" x14ac:dyDescent="0.25">
      <c r="A5" s="4">
        <v>4</v>
      </c>
      <c r="B5" s="5" t="s">
        <v>208</v>
      </c>
      <c r="C5" s="4">
        <f>SUMPRODUCT(--ISNUMBER(SEARCH(", "&amp;$B5&amp;",",", "&amp;'Hasil Ekstraksi'!$D$2:$D$58&amp;",")))</f>
        <v>33</v>
      </c>
      <c r="D5" s="6">
        <f>C5/COUNTA('Hasil Ekstraksi'!$A$2:$A$58)</f>
        <v>0.57894736842105265</v>
      </c>
    </row>
    <row r="6" spans="1:4" x14ac:dyDescent="0.25">
      <c r="A6" s="4">
        <v>5</v>
      </c>
      <c r="B6" s="5" t="s">
        <v>209</v>
      </c>
      <c r="C6" s="4">
        <f>SUMPRODUCT(--ISNUMBER(SEARCH(", "&amp;$B6&amp;",",", "&amp;'Hasil Ekstraksi'!$D$2:$D$58&amp;",")))</f>
        <v>32</v>
      </c>
      <c r="D6" s="6">
        <f>C6/COUNTA('Hasil Ekstraksi'!$A$2:$A$58)</f>
        <v>0.56140350877192979</v>
      </c>
    </row>
    <row r="7" spans="1:4" x14ac:dyDescent="0.25">
      <c r="A7" s="4">
        <v>6</v>
      </c>
      <c r="B7" s="5" t="s">
        <v>210</v>
      </c>
      <c r="C7" s="4">
        <f>SUMPRODUCT(--ISNUMBER(SEARCH(", "&amp;$B7&amp;",",", "&amp;'Hasil Ekstraksi'!$D$2:$D$58&amp;",")))</f>
        <v>26</v>
      </c>
      <c r="D7" s="6">
        <f>C7/COUNTA('Hasil Ekstraksi'!$A$2:$A$58)</f>
        <v>0.45614035087719296</v>
      </c>
    </row>
    <row r="8" spans="1:4" x14ac:dyDescent="0.25">
      <c r="A8" s="4">
        <v>7</v>
      </c>
      <c r="B8" s="5" t="s">
        <v>211</v>
      </c>
      <c r="C8" s="4">
        <f>SUMPRODUCT(--ISNUMBER(SEARCH(", "&amp;$B8&amp;",",", "&amp;'Hasil Ekstraksi'!$D$2:$D$58&amp;",")))</f>
        <v>21</v>
      </c>
      <c r="D8" s="6">
        <f>C8/COUNTA('Hasil Ekstraksi'!$A$2:$A$58)</f>
        <v>0.36842105263157893</v>
      </c>
    </row>
    <row r="9" spans="1:4" x14ac:dyDescent="0.25">
      <c r="A9" s="4">
        <v>8</v>
      </c>
      <c r="B9" s="5" t="s">
        <v>212</v>
      </c>
      <c r="C9" s="4">
        <f>SUMPRODUCT(--ISNUMBER(SEARCH(", "&amp;$B9&amp;",",", "&amp;'Hasil Ekstraksi'!$D$2:$D$58&amp;",")))</f>
        <v>21</v>
      </c>
      <c r="D9" s="6">
        <f>C9/COUNTA('Hasil Ekstraksi'!$A$2:$A$58)</f>
        <v>0.36842105263157893</v>
      </c>
    </row>
    <row r="10" spans="1:4" x14ac:dyDescent="0.25">
      <c r="A10" s="4">
        <v>9</v>
      </c>
      <c r="B10" s="5" t="s">
        <v>213</v>
      </c>
      <c r="C10" s="4">
        <f>SUMPRODUCT(--ISNUMBER(SEARCH(", "&amp;$B10&amp;",",", "&amp;'Hasil Ekstraksi'!$D$2:$D$58&amp;",")))</f>
        <v>18</v>
      </c>
      <c r="D10" s="6">
        <f>C10/COUNTA('Hasil Ekstraksi'!$A$2:$A$58)</f>
        <v>0.31578947368421051</v>
      </c>
    </row>
    <row r="11" spans="1:4" x14ac:dyDescent="0.25">
      <c r="A11" s="4">
        <v>10</v>
      </c>
      <c r="B11" s="5" t="s">
        <v>214</v>
      </c>
      <c r="C11" s="4">
        <f>SUMPRODUCT(--ISNUMBER(SEARCH(", "&amp;$B11&amp;",",", "&amp;'Hasil Ekstraksi'!$D$2:$D$58&amp;",")))</f>
        <v>13</v>
      </c>
      <c r="D11" s="6">
        <f>C11/COUNTA('Hasil Ekstraksi'!$A$2:$A$58)</f>
        <v>0.22807017543859648</v>
      </c>
    </row>
    <row r="12" spans="1:4" x14ac:dyDescent="0.25">
      <c r="A12" s="4">
        <v>11</v>
      </c>
      <c r="B12" s="5" t="s">
        <v>215</v>
      </c>
      <c r="C12" s="4">
        <f>SUMPRODUCT(--ISNUMBER(SEARCH(", "&amp;$B12&amp;",",", "&amp;'Hasil Ekstraksi'!$D$2:$D$58&amp;",")))</f>
        <v>12</v>
      </c>
      <c r="D12" s="6">
        <f>C12/COUNTA('Hasil Ekstraksi'!$A$2:$A$58)</f>
        <v>0.21052631578947367</v>
      </c>
    </row>
    <row r="13" spans="1:4" x14ac:dyDescent="0.25">
      <c r="A13" s="4">
        <v>12</v>
      </c>
      <c r="B13" s="5" t="s">
        <v>216</v>
      </c>
      <c r="C13" s="4">
        <f>SUMPRODUCT(--ISNUMBER(SEARCH(", "&amp;$B13&amp;",",", "&amp;'Hasil Ekstraksi'!$D$2:$D$58&amp;",")))</f>
        <v>9</v>
      </c>
      <c r="D13" s="6">
        <f>C13/COUNTA('Hasil Ekstraksi'!$A$2:$A$58)</f>
        <v>0.15789473684210525</v>
      </c>
    </row>
    <row r="14" spans="1:4" x14ac:dyDescent="0.25">
      <c r="A14" s="4">
        <v>13</v>
      </c>
      <c r="B14" s="5" t="s">
        <v>217</v>
      </c>
      <c r="C14" s="4">
        <f>SUMPRODUCT(--ISNUMBER(SEARCH(", "&amp;$B14&amp;",",", "&amp;'Hasil Ekstraksi'!$D$2:$D$58&amp;",")))</f>
        <v>9</v>
      </c>
      <c r="D14" s="6">
        <f>C14/COUNTA('Hasil Ekstraksi'!$A$2:$A$58)</f>
        <v>0.15789473684210525</v>
      </c>
    </row>
    <row r="15" spans="1:4" x14ac:dyDescent="0.25">
      <c r="A15" s="4">
        <v>14</v>
      </c>
      <c r="B15" s="5" t="s">
        <v>218</v>
      </c>
      <c r="C15" s="4">
        <f>SUMPRODUCT(--ISNUMBER(SEARCH(", "&amp;$B15&amp;",",", "&amp;'Hasil Ekstraksi'!$D$2:$D$58&amp;",")))</f>
        <v>8</v>
      </c>
      <c r="D15" s="6">
        <f>C15/COUNTA('Hasil Ekstraksi'!$A$2:$A$58)</f>
        <v>0.14035087719298245</v>
      </c>
    </row>
    <row r="16" spans="1:4" x14ac:dyDescent="0.25">
      <c r="A16" s="4">
        <v>15</v>
      </c>
      <c r="B16" s="5" t="s">
        <v>219</v>
      </c>
      <c r="C16" s="4">
        <f>SUMPRODUCT(--ISNUMBER(SEARCH(", "&amp;$B16&amp;",",", "&amp;'Hasil Ekstraksi'!$D$2:$D$58&amp;",")))</f>
        <v>7</v>
      </c>
      <c r="D16" s="6">
        <f>C16/COUNTA('Hasil Ekstraksi'!$A$2:$A$58)</f>
        <v>0.12280701754385964</v>
      </c>
    </row>
    <row r="17" spans="1:4" x14ac:dyDescent="0.25">
      <c r="A17" s="4">
        <v>16</v>
      </c>
      <c r="B17" s="5" t="s">
        <v>220</v>
      </c>
      <c r="C17" s="4">
        <f>SUMPRODUCT(--ISNUMBER(SEARCH(", "&amp;$B17&amp;",",", "&amp;'Hasil Ekstraksi'!$D$2:$D$58&amp;",")))</f>
        <v>6</v>
      </c>
      <c r="D17" s="6">
        <f>C17/COUNTA('Hasil Ekstraksi'!$A$2:$A$58)</f>
        <v>0.10526315789473684</v>
      </c>
    </row>
    <row r="18" spans="1:4" x14ac:dyDescent="0.25">
      <c r="A18" s="4">
        <v>17</v>
      </c>
      <c r="B18" s="5" t="s">
        <v>221</v>
      </c>
      <c r="C18" s="4">
        <f>SUMPRODUCT(--ISNUMBER(SEARCH(", "&amp;$B18&amp;",",", "&amp;'Hasil Ekstraksi'!$D$2:$D$58&amp;",")))</f>
        <v>6</v>
      </c>
      <c r="D18" s="6">
        <f>C18/COUNTA('Hasil Ekstraksi'!$A$2:$A$58)</f>
        <v>0.10526315789473684</v>
      </c>
    </row>
    <row r="19" spans="1:4" x14ac:dyDescent="0.25">
      <c r="A19" s="4">
        <v>18</v>
      </c>
      <c r="B19" s="5" t="s">
        <v>222</v>
      </c>
      <c r="C19" s="4">
        <f>SUMPRODUCT(--ISNUMBER(SEARCH(", "&amp;$B19&amp;",",", "&amp;'Hasil Ekstraksi'!$D$2:$D$58&amp;",")))</f>
        <v>5</v>
      </c>
      <c r="D19" s="6">
        <f>C19/COUNTA('Hasil Ekstraksi'!$A$2:$A$58)</f>
        <v>8.771929824561403E-2</v>
      </c>
    </row>
    <row r="20" spans="1:4" x14ac:dyDescent="0.25">
      <c r="A20" s="4">
        <v>19</v>
      </c>
      <c r="B20" s="5" t="s">
        <v>223</v>
      </c>
      <c r="C20" s="4">
        <f>SUMPRODUCT(--ISNUMBER(SEARCH(", "&amp;$B20&amp;",",", "&amp;'Hasil Ekstraksi'!$D$2:$D$58&amp;",")))</f>
        <v>5</v>
      </c>
      <c r="D20" s="6">
        <f>C20/COUNTA('Hasil Ekstraksi'!$A$2:$A$58)</f>
        <v>8.771929824561403E-2</v>
      </c>
    </row>
    <row r="21" spans="1:4" x14ac:dyDescent="0.25">
      <c r="A21" s="4">
        <v>20</v>
      </c>
      <c r="B21" s="5" t="s">
        <v>224</v>
      </c>
      <c r="C21" s="4">
        <f>SUMPRODUCT(--ISNUMBER(SEARCH(", "&amp;$B21&amp;",",", "&amp;'Hasil Ekstraksi'!$D$2:$D$58&amp;",")))</f>
        <v>4</v>
      </c>
      <c r="D21" s="6">
        <f>C21/COUNTA('Hasil Ekstraksi'!$A$2:$A$58)</f>
        <v>7.0175438596491224E-2</v>
      </c>
    </row>
    <row r="22" spans="1:4" x14ac:dyDescent="0.25">
      <c r="A22" s="4">
        <v>21</v>
      </c>
      <c r="B22" s="5" t="s">
        <v>225</v>
      </c>
      <c r="C22" s="4">
        <f>SUMPRODUCT(--ISNUMBER(SEARCH(", "&amp;$B22&amp;",",", "&amp;'Hasil Ekstraksi'!$D$2:$D$58&amp;",")))</f>
        <v>4</v>
      </c>
      <c r="D22" s="6">
        <f>C22/COUNTA('Hasil Ekstraksi'!$A$2:$A$58)</f>
        <v>7.0175438596491224E-2</v>
      </c>
    </row>
    <row r="23" spans="1:4" x14ac:dyDescent="0.25">
      <c r="A23" s="4">
        <v>22</v>
      </c>
      <c r="B23" s="5" t="s">
        <v>226</v>
      </c>
      <c r="C23" s="4">
        <f>SUMPRODUCT(--ISNUMBER(SEARCH(", "&amp;$B23&amp;",",", "&amp;'Hasil Ekstraksi'!$D$2:$D$58&amp;",")))</f>
        <v>4</v>
      </c>
      <c r="D23" s="6">
        <f>C23/COUNTA('Hasil Ekstraksi'!$A$2:$A$58)</f>
        <v>7.0175438596491224E-2</v>
      </c>
    </row>
    <row r="24" spans="1:4" x14ac:dyDescent="0.25">
      <c r="A24" s="4">
        <v>23</v>
      </c>
      <c r="B24" s="5" t="s">
        <v>227</v>
      </c>
      <c r="C24" s="4">
        <f>SUMPRODUCT(--ISNUMBER(SEARCH(", "&amp;$B24&amp;",",", "&amp;'Hasil Ekstraksi'!$D$2:$D$58&amp;",")))</f>
        <v>3</v>
      </c>
      <c r="D24" s="6">
        <f>C24/COUNTA('Hasil Ekstraksi'!$A$2:$A$58)</f>
        <v>5.2631578947368418E-2</v>
      </c>
    </row>
    <row r="25" spans="1:4" x14ac:dyDescent="0.25">
      <c r="A25" s="4">
        <v>24</v>
      </c>
      <c r="B25" s="5" t="s">
        <v>228</v>
      </c>
      <c r="C25" s="4">
        <f>SUMPRODUCT(--ISNUMBER(SEARCH(", "&amp;$B25&amp;",",", "&amp;'Hasil Ekstraksi'!$D$2:$D$58&amp;",")))</f>
        <v>3</v>
      </c>
      <c r="D25" s="6">
        <f>C25/COUNTA('Hasil Ekstraksi'!$A$2:$A$58)</f>
        <v>5.2631578947368418E-2</v>
      </c>
    </row>
    <row r="26" spans="1:4" x14ac:dyDescent="0.25">
      <c r="A26" s="4">
        <v>25</v>
      </c>
      <c r="B26" s="5" t="s">
        <v>229</v>
      </c>
      <c r="C26" s="4">
        <f>SUMPRODUCT(--ISNUMBER(SEARCH(", "&amp;$B26&amp;",",", "&amp;'Hasil Ekstraksi'!$D$2:$D$58&amp;",")))</f>
        <v>3</v>
      </c>
      <c r="D26" s="6">
        <f>C26/COUNTA('Hasil Ekstraksi'!$A$2:$A$58)</f>
        <v>5.2631578947368418E-2</v>
      </c>
    </row>
    <row r="27" spans="1:4" x14ac:dyDescent="0.25">
      <c r="A27" s="4">
        <v>26</v>
      </c>
      <c r="B27" s="5" t="s">
        <v>230</v>
      </c>
      <c r="C27" s="4">
        <f>SUMPRODUCT(--ISNUMBER(SEARCH(", "&amp;$B27&amp;",",", "&amp;'Hasil Ekstraksi'!$D$2:$D$58&amp;",")))</f>
        <v>3</v>
      </c>
      <c r="D27" s="6">
        <f>C27/COUNTA('Hasil Ekstraksi'!$A$2:$A$58)</f>
        <v>5.2631578947368418E-2</v>
      </c>
    </row>
    <row r="28" spans="1:4" x14ac:dyDescent="0.25">
      <c r="A28" s="4">
        <v>27</v>
      </c>
      <c r="B28" s="5" t="s">
        <v>231</v>
      </c>
      <c r="C28" s="4">
        <f>SUMPRODUCT(--ISNUMBER(SEARCH(", "&amp;$B28&amp;",",", "&amp;'Hasil Ekstraksi'!$D$2:$D$58&amp;",")))</f>
        <v>2</v>
      </c>
      <c r="D28" s="6">
        <f>C28/COUNTA('Hasil Ekstraksi'!$A$2:$A$58)</f>
        <v>3.5087719298245612E-2</v>
      </c>
    </row>
    <row r="29" spans="1:4" x14ac:dyDescent="0.25">
      <c r="A29" s="4">
        <v>28</v>
      </c>
      <c r="B29" s="5" t="s">
        <v>232</v>
      </c>
      <c r="C29" s="4">
        <f>SUMPRODUCT(--ISNUMBER(SEARCH(", "&amp;$B29&amp;",",", "&amp;'Hasil Ekstraksi'!$D$2:$D$58&amp;",")))</f>
        <v>2</v>
      </c>
      <c r="D29" s="6">
        <f>C29/COUNTA('Hasil Ekstraksi'!$A$2:$A$58)</f>
        <v>3.5087719298245612E-2</v>
      </c>
    </row>
    <row r="30" spans="1:4" x14ac:dyDescent="0.25">
      <c r="A30" s="4">
        <v>29</v>
      </c>
      <c r="B30" s="5" t="s">
        <v>233</v>
      </c>
      <c r="C30" s="4">
        <f>SUMPRODUCT(--ISNUMBER(SEARCH(", "&amp;$B30&amp;",",", "&amp;'Hasil Ekstraksi'!$D$2:$D$58&amp;",")))</f>
        <v>2</v>
      </c>
      <c r="D30" s="6">
        <f>C30/COUNTA('Hasil Ekstraksi'!$A$2:$A$58)</f>
        <v>3.5087719298245612E-2</v>
      </c>
    </row>
    <row r="31" spans="1:4" x14ac:dyDescent="0.25">
      <c r="A31" s="4">
        <v>30</v>
      </c>
      <c r="B31" s="5" t="s">
        <v>234</v>
      </c>
      <c r="C31" s="4">
        <f>SUMPRODUCT(--ISNUMBER(SEARCH(", "&amp;$B31&amp;",",", "&amp;'Hasil Ekstraksi'!$D$2:$D$58&amp;",")))</f>
        <v>2</v>
      </c>
      <c r="D31" s="6">
        <f>C31/COUNTA('Hasil Ekstraksi'!$A$2:$A$58)</f>
        <v>3.5087719298245612E-2</v>
      </c>
    </row>
    <row r="32" spans="1:4" x14ac:dyDescent="0.25">
      <c r="A32" s="4">
        <v>31</v>
      </c>
      <c r="B32" s="5" t="s">
        <v>235</v>
      </c>
      <c r="C32" s="4">
        <f>SUMPRODUCT(--ISNUMBER(SEARCH(", "&amp;$B32&amp;",",", "&amp;'Hasil Ekstraksi'!$D$2:$D$58&amp;",")))</f>
        <v>1</v>
      </c>
      <c r="D32" s="6">
        <f>C32/COUNTA('Hasil Ekstraksi'!$A$2:$A$58)</f>
        <v>1.7543859649122806E-2</v>
      </c>
    </row>
    <row r="33" spans="1:4" x14ac:dyDescent="0.25">
      <c r="A33" s="4">
        <v>32</v>
      </c>
      <c r="B33" s="5" t="s">
        <v>236</v>
      </c>
      <c r="C33" s="4">
        <f>SUMPRODUCT(--ISNUMBER(SEARCH(", "&amp;$B33&amp;",",", "&amp;'Hasil Ekstraksi'!$D$2:$D$58&amp;",")))</f>
        <v>1</v>
      </c>
      <c r="D33" s="6">
        <f>C33/COUNTA('Hasil Ekstraksi'!$A$2:$A$58)</f>
        <v>1.7543859649122806E-2</v>
      </c>
    </row>
    <row r="34" spans="1:4" x14ac:dyDescent="0.25">
      <c r="A34" s="4">
        <v>33</v>
      </c>
      <c r="B34" s="5" t="s">
        <v>237</v>
      </c>
      <c r="C34" s="4">
        <f>SUMPRODUCT(--ISNUMBER(SEARCH(", "&amp;$B34&amp;",",", "&amp;'Hasil Ekstraksi'!$D$2:$D$58&amp;",")))</f>
        <v>1</v>
      </c>
      <c r="D34" s="6">
        <f>C34/COUNTA('Hasil Ekstraksi'!$A$2:$A$58)</f>
        <v>1.7543859649122806E-2</v>
      </c>
    </row>
    <row r="35" spans="1:4" x14ac:dyDescent="0.25">
      <c r="A35" s="4">
        <v>34</v>
      </c>
      <c r="B35" s="5" t="s">
        <v>238</v>
      </c>
      <c r="C35" s="4">
        <f>SUMPRODUCT(--ISNUMBER(SEARCH(", "&amp;$B35&amp;",",", "&amp;'Hasil Ekstraksi'!$D$2:$D$58&amp;",")))</f>
        <v>1</v>
      </c>
      <c r="D35" s="6">
        <f>C35/COUNTA('Hasil Ekstraksi'!$A$2:$A$58)</f>
        <v>1.7543859649122806E-2</v>
      </c>
    </row>
    <row r="37" spans="1:4" x14ac:dyDescent="0.25">
      <c r="A37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Normal="100" workbookViewId="0">
      <pane ySplit="1" topLeftCell="A2" activePane="bottomLeft" state="frozen"/>
      <selection pane="bottomLeft" activeCell="A23" sqref="A23"/>
    </sheetView>
  </sheetViews>
  <sheetFormatPr defaultColWidth="8.7109375" defaultRowHeight="15" x14ac:dyDescent="0.25"/>
  <cols>
    <col min="1" max="1" width="6" customWidth="1"/>
    <col min="2" max="2" width="38" customWidth="1"/>
    <col min="3" max="4" width="18" customWidth="1"/>
  </cols>
  <sheetData>
    <row r="1" spans="1:4" ht="25.5" x14ac:dyDescent="0.25">
      <c r="A1" s="1" t="s">
        <v>0</v>
      </c>
      <c r="B1" s="1" t="s">
        <v>202</v>
      </c>
      <c r="C1" s="1" t="s">
        <v>203</v>
      </c>
      <c r="D1" s="1" t="s">
        <v>204</v>
      </c>
    </row>
    <row r="2" spans="1:4" x14ac:dyDescent="0.25">
      <c r="A2" s="4">
        <v>1</v>
      </c>
      <c r="B2" s="5" t="s">
        <v>26</v>
      </c>
      <c r="C2" s="4">
        <f>SUMPRODUCT(--ISNUMBER(SEARCH(", "&amp;$B2&amp;",",", "&amp;'Hasil Ekstraksi'!$E$2:$E$58&amp;",")))</f>
        <v>40</v>
      </c>
      <c r="D2" s="6">
        <f>C2/COUNTA('Hasil Ekstraksi'!$A$2:$A$58)</f>
        <v>0.70175438596491224</v>
      </c>
    </row>
    <row r="3" spans="1:4" x14ac:dyDescent="0.25">
      <c r="A3" s="4">
        <v>2</v>
      </c>
      <c r="B3" s="5" t="s">
        <v>183</v>
      </c>
      <c r="C3" s="4">
        <f>SUMPRODUCT(--ISNUMBER(SEARCH(", "&amp;$B3&amp;",",", "&amp;'Hasil Ekstraksi'!$E$2:$E$58&amp;",")))</f>
        <v>33</v>
      </c>
      <c r="D3" s="6">
        <f>C3/COUNTA('Hasil Ekstraksi'!$A$2:$A$58)</f>
        <v>0.57894736842105265</v>
      </c>
    </row>
    <row r="4" spans="1:4" x14ac:dyDescent="0.25">
      <c r="A4" s="4">
        <v>3</v>
      </c>
      <c r="B4" s="5" t="s">
        <v>239</v>
      </c>
      <c r="C4" s="4">
        <f>SUMPRODUCT(--ISNUMBER(SEARCH(", "&amp;$B4&amp;",",", "&amp;'Hasil Ekstraksi'!$E$2:$E$58&amp;",")))</f>
        <v>31</v>
      </c>
      <c r="D4" s="6">
        <f>C4/COUNTA('Hasil Ekstraksi'!$A$2:$A$58)</f>
        <v>0.54385964912280704</v>
      </c>
    </row>
    <row r="5" spans="1:4" x14ac:dyDescent="0.25">
      <c r="A5" s="4">
        <v>4</v>
      </c>
      <c r="B5" s="5" t="s">
        <v>240</v>
      </c>
      <c r="C5" s="4">
        <f>SUMPRODUCT(--ISNUMBER(SEARCH(", "&amp;$B5&amp;",",", "&amp;'Hasil Ekstraksi'!$E$2:$E$58&amp;",")))</f>
        <v>25</v>
      </c>
      <c r="D5" s="6">
        <f>C5/COUNTA('Hasil Ekstraksi'!$A$2:$A$58)</f>
        <v>0.43859649122807015</v>
      </c>
    </row>
    <row r="6" spans="1:4" x14ac:dyDescent="0.25">
      <c r="A6" s="4">
        <v>5</v>
      </c>
      <c r="B6" s="5" t="s">
        <v>241</v>
      </c>
      <c r="C6" s="4">
        <f>SUMPRODUCT(--ISNUMBER(SEARCH(", "&amp;$B6&amp;",",", "&amp;'Hasil Ekstraksi'!$E$2:$E$58&amp;",")))</f>
        <v>22</v>
      </c>
      <c r="D6" s="6">
        <f>C6/COUNTA('Hasil Ekstraksi'!$A$2:$A$58)</f>
        <v>0.38596491228070173</v>
      </c>
    </row>
    <row r="7" spans="1:4" x14ac:dyDescent="0.25">
      <c r="A7" s="4">
        <v>6</v>
      </c>
      <c r="B7" s="5" t="s">
        <v>242</v>
      </c>
      <c r="C7" s="4">
        <f>SUMPRODUCT(--ISNUMBER(SEARCH(", "&amp;$B7&amp;",",", "&amp;'Hasil Ekstraksi'!$E$2:$E$58&amp;",")))</f>
        <v>19</v>
      </c>
      <c r="D7" s="6">
        <f>C7/COUNTA('Hasil Ekstraksi'!$A$2:$A$58)</f>
        <v>0.33333333333333331</v>
      </c>
    </row>
    <row r="8" spans="1:4" x14ac:dyDescent="0.25">
      <c r="A8" s="4">
        <v>7</v>
      </c>
      <c r="B8" s="5" t="s">
        <v>243</v>
      </c>
      <c r="C8" s="4">
        <f>SUMPRODUCT(--ISNUMBER(SEARCH(", "&amp;$B8&amp;",",", "&amp;'Hasil Ekstraksi'!$E$2:$E$58&amp;",")))</f>
        <v>9</v>
      </c>
      <c r="D8" s="6">
        <f>C8/COUNTA('Hasil Ekstraksi'!$A$2:$A$58)</f>
        <v>0.15789473684210525</v>
      </c>
    </row>
    <row r="9" spans="1:4" x14ac:dyDescent="0.25">
      <c r="A9" s="4">
        <v>8</v>
      </c>
      <c r="B9" s="5" t="s">
        <v>161</v>
      </c>
      <c r="C9" s="4">
        <f>SUMPRODUCT(--ISNUMBER(SEARCH(", "&amp;$B9&amp;",",", "&amp;'Hasil Ekstraksi'!$E$2:$E$58&amp;",")))</f>
        <v>8</v>
      </c>
      <c r="D9" s="6">
        <f>C9/COUNTA('Hasil Ekstraksi'!$A$2:$A$58)</f>
        <v>0.14035087719298245</v>
      </c>
    </row>
    <row r="10" spans="1:4" x14ac:dyDescent="0.25">
      <c r="A10" s="4">
        <v>9</v>
      </c>
      <c r="B10" s="5" t="s">
        <v>244</v>
      </c>
      <c r="C10" s="4">
        <f>SUMPRODUCT(--ISNUMBER(SEARCH(", "&amp;$B10&amp;",",", "&amp;'Hasil Ekstraksi'!$E$2:$E$58&amp;",")))</f>
        <v>5</v>
      </c>
      <c r="D10" s="6">
        <f>C10/COUNTA('Hasil Ekstraksi'!$A$2:$A$58)</f>
        <v>8.771929824561403E-2</v>
      </c>
    </row>
    <row r="11" spans="1:4" x14ac:dyDescent="0.25">
      <c r="A11" s="4">
        <v>10</v>
      </c>
      <c r="B11" s="5" t="s">
        <v>245</v>
      </c>
      <c r="C11" s="4">
        <f>SUMPRODUCT(--ISNUMBER(SEARCH(", "&amp;$B11&amp;",",", "&amp;'Hasil Ekstraksi'!$E$2:$E$58&amp;",")))</f>
        <v>4</v>
      </c>
      <c r="D11" s="6">
        <f>C11/COUNTA('Hasil Ekstraksi'!$A$2:$A$58)</f>
        <v>7.0175438596491224E-2</v>
      </c>
    </row>
    <row r="12" spans="1:4" x14ac:dyDescent="0.25">
      <c r="A12" s="4">
        <v>11</v>
      </c>
      <c r="B12" s="5" t="s">
        <v>246</v>
      </c>
      <c r="C12" s="4">
        <f>SUMPRODUCT(--ISNUMBER(SEARCH(", "&amp;$B12&amp;",",", "&amp;'Hasil Ekstraksi'!$E$2:$E$58&amp;",")))</f>
        <v>3</v>
      </c>
      <c r="D12" s="6">
        <f>C12/COUNTA('Hasil Ekstraksi'!$A$2:$A$58)</f>
        <v>5.2631578947368418E-2</v>
      </c>
    </row>
    <row r="13" spans="1:4" x14ac:dyDescent="0.25">
      <c r="A13" s="4">
        <v>12</v>
      </c>
      <c r="B13" s="5" t="s">
        <v>247</v>
      </c>
      <c r="C13" s="4">
        <f>SUMPRODUCT(--ISNUMBER(SEARCH(", "&amp;$B13&amp;",",", "&amp;'Hasil Ekstraksi'!$E$2:$E$58&amp;",")))</f>
        <v>3</v>
      </c>
      <c r="D13" s="6">
        <f>C13/COUNTA('Hasil Ekstraksi'!$A$2:$A$58)</f>
        <v>5.2631578947368418E-2</v>
      </c>
    </row>
    <row r="14" spans="1:4" x14ac:dyDescent="0.25">
      <c r="A14" s="4">
        <v>13</v>
      </c>
      <c r="B14" s="5" t="s">
        <v>16</v>
      </c>
      <c r="C14" s="4">
        <f>SUMPRODUCT(--ISNUMBER(SEARCH(", "&amp;$B14&amp;",",", "&amp;'Hasil Ekstraksi'!$E$2:$E$58&amp;",")))</f>
        <v>3</v>
      </c>
      <c r="D14" s="6">
        <f>C14/COUNTA('Hasil Ekstraksi'!$A$2:$A$58)</f>
        <v>5.2631578947368418E-2</v>
      </c>
    </row>
    <row r="15" spans="1:4" x14ac:dyDescent="0.25">
      <c r="A15" s="4">
        <v>14</v>
      </c>
      <c r="B15" s="5" t="s">
        <v>248</v>
      </c>
      <c r="C15" s="4">
        <f>SUMPRODUCT(--ISNUMBER(SEARCH(", "&amp;$B15&amp;",",", "&amp;'Hasil Ekstraksi'!$E$2:$E$58&amp;",")))</f>
        <v>3</v>
      </c>
      <c r="D15" s="6">
        <f>C15/COUNTA('Hasil Ekstraksi'!$A$2:$A$58)</f>
        <v>5.2631578947368418E-2</v>
      </c>
    </row>
    <row r="16" spans="1:4" x14ac:dyDescent="0.25">
      <c r="A16" s="4">
        <v>15</v>
      </c>
      <c r="B16" s="5" t="s">
        <v>249</v>
      </c>
      <c r="C16" s="4">
        <f>SUMPRODUCT(--ISNUMBER(SEARCH(", "&amp;$B16&amp;",",", "&amp;'Hasil Ekstraksi'!$E$2:$E$58&amp;",")))</f>
        <v>3</v>
      </c>
      <c r="D16" s="6">
        <f>C16/COUNTA('Hasil Ekstraksi'!$A$2:$A$58)</f>
        <v>5.2631578947368418E-2</v>
      </c>
    </row>
    <row r="17" spans="1:4" x14ac:dyDescent="0.25">
      <c r="A17" s="4">
        <v>16</v>
      </c>
      <c r="B17" s="5" t="s">
        <v>250</v>
      </c>
      <c r="C17" s="4">
        <f>SUMPRODUCT(--ISNUMBER(SEARCH(", "&amp;$B17&amp;",",", "&amp;'Hasil Ekstraksi'!$E$2:$E$58&amp;",")))</f>
        <v>2</v>
      </c>
      <c r="D17" s="6">
        <f>C17/COUNTA('Hasil Ekstraksi'!$A$2:$A$58)</f>
        <v>3.5087719298245612E-2</v>
      </c>
    </row>
    <row r="18" spans="1:4" x14ac:dyDescent="0.25">
      <c r="A18" s="4">
        <v>17</v>
      </c>
      <c r="B18" s="5" t="s">
        <v>251</v>
      </c>
      <c r="C18" s="4">
        <f>SUMPRODUCT(--ISNUMBER(SEARCH(", "&amp;$B18&amp;",",", "&amp;'Hasil Ekstraksi'!$E$2:$E$58&amp;",")))</f>
        <v>2</v>
      </c>
      <c r="D18" s="6">
        <f>C18/COUNTA('Hasil Ekstraksi'!$A$2:$A$58)</f>
        <v>3.5087719298245612E-2</v>
      </c>
    </row>
    <row r="19" spans="1:4" x14ac:dyDescent="0.25">
      <c r="A19" s="4">
        <v>18</v>
      </c>
      <c r="B19" s="5" t="s">
        <v>252</v>
      </c>
      <c r="C19" s="4">
        <f>SUMPRODUCT(--ISNUMBER(SEARCH(", "&amp;$B19&amp;",",", "&amp;'Hasil Ekstraksi'!$E$2:$E$58&amp;",")))</f>
        <v>1</v>
      </c>
      <c r="D19" s="6">
        <f>C19/COUNTA('Hasil Ekstraksi'!$A$2:$A$58)</f>
        <v>1.7543859649122806E-2</v>
      </c>
    </row>
    <row r="20" spans="1:4" x14ac:dyDescent="0.25">
      <c r="A20" s="4">
        <v>19</v>
      </c>
      <c r="B20" s="5" t="s">
        <v>253</v>
      </c>
      <c r="C20" s="4">
        <f>SUMPRODUCT(--ISNUMBER(SEARCH(", "&amp;$B20&amp;",",", "&amp;'Hasil Ekstraksi'!$E$2:$E$58&amp;",")))</f>
        <v>1</v>
      </c>
      <c r="D20" s="6">
        <f>C20/COUNTA('Hasil Ekstraksi'!$A$2:$A$58)</f>
        <v>1.7543859649122806E-2</v>
      </c>
    </row>
    <row r="21" spans="1:4" x14ac:dyDescent="0.25">
      <c r="A21" s="4">
        <v>20</v>
      </c>
      <c r="B21" s="5" t="s">
        <v>254</v>
      </c>
      <c r="C21" s="4">
        <f>SUMPRODUCT(--ISNUMBER(SEARCH(", "&amp;$B21&amp;",",", "&amp;'Hasil Ekstraksi'!$E$2:$E$58&amp;",")))</f>
        <v>1</v>
      </c>
      <c r="D21" s="6">
        <f>C21/COUNTA('Hasil Ekstraksi'!$A$2:$A$58)</f>
        <v>1.7543859649122806E-2</v>
      </c>
    </row>
    <row r="23" spans="1:4" x14ac:dyDescent="0.25">
      <c r="A23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revision>0</cp:revision>
  <dcterms:created xsi:type="dcterms:W3CDTF">2026-10-10T23:21:51Z</dcterms:created>
  <dcterms:modified xsi:type="dcterms:W3CDTF">2026-10-10T23:25:53Z</dcterms:modified>
  <dc:language>en-US</dc:language>
</cp:coreProperties>
</file>